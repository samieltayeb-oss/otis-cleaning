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 me" sheetId="1" r:id="rId5"/>
    <sheet state="visible" name="Compliance pack" sheetId="2" r:id="rId6"/>
    <sheet state="visible" name="Where to look" sheetId="3" r:id="rId7"/>
    <sheet state="visible" name="Leads" sheetId="4" r:id="rId8"/>
    <sheet state="visible" name="Pipeline" sheetId="5" r:id="rId9"/>
  </sheets>
  <definedNames>
    <definedName hidden="1" localSheetId="3" name="_xlnm._FilterDatabase">Leads!$A$3:$AT$100</definedName>
  </definedNames>
  <calcPr/>
</workbook>
</file>

<file path=xl/sharedStrings.xml><?xml version="1.0" encoding="utf-8"?>
<sst xmlns="http://schemas.openxmlformats.org/spreadsheetml/2006/main" count="865" uniqueCount="502">
  <si>
    <t>OTIS COMMERCIAL CLEANING — LEAD TRACKER</t>
  </si>
  <si>
    <t>WHERE TO LOOK</t>
  </si>
  <si>
    <t>COMPLIANCE PACK</t>
  </si>
  <si>
    <t>BLUE = the skill fills this</t>
  </si>
  <si>
    <t>Built by Golden Thread Solutions · September 2026 · English-only v2</t>
  </si>
  <si>
    <t>Work top-down. The top of this list produces the best leads for the least effort.</t>
  </si>
  <si>
    <t>THE GOAL: LONG-TERM CONTRACTS</t>
  </si>
  <si>
    <t>AMBER = YOU fill this by hand</t>
  </si>
  <si>
    <t>Everything in this tracker exists to win recurring contracts. Nothing else is the finish line.</t>
  </si>
  <si>
    <t>The problem is that you cannot win a contract cold. Almost every business already has a cleaner,</t>
  </si>
  <si>
    <t>so a contract means replacing someone — and that only happens when they have a reason.</t>
  </si>
  <si>
    <t>Fill in once. Every item here has killed somebody's deal at the last minute.</t>
  </si>
  <si>
    <t>So there are two ways IN, and both of them lead to the same place:</t>
  </si>
  <si>
    <t>GREY = automatic, never type here</t>
  </si>
  <si>
    <t>Item</t>
  </si>
  <si>
    <t>Tier</t>
  </si>
  <si>
    <t>Why it matters</t>
  </si>
  <si>
    <t>Status</t>
  </si>
  <si>
    <t>Owner</t>
  </si>
  <si>
    <t>Last checked</t>
  </si>
  <si>
    <t>Notes</t>
  </si>
  <si>
    <t>Source</t>
  </si>
  <si>
    <t>How to work it</t>
  </si>
  <si>
    <t>— LEGAL —</t>
  </si>
  <si>
    <t>Cost</t>
  </si>
  <si>
    <t>Effort</t>
  </si>
  <si>
    <t xml:space="preserve">   ROUTE 1 — THE ONE-OFF JOB</t>
  </si>
  <si>
    <t>Notes / status</t>
  </si>
  <si>
    <t>1</t>
  </si>
  <si>
    <t xml:space="preserve">   Strip and wax, post-construction, deep clean, event clean. Work their current cleaner does not do.</t>
  </si>
  <si>
    <t xml:space="preserve">   Nobody gets replaced. You get inside the building and they watch you work.</t>
  </si>
  <si>
    <t>A · WHO</t>
  </si>
  <si>
    <t xml:space="preserve">   → Then you ask about the contract.</t>
  </si>
  <si>
    <t xml:space="preserve">   ROUTE 2 — THE BACKUP LIST</t>
  </si>
  <si>
    <t>Property &amp; facility managers</t>
  </si>
  <si>
    <t xml:space="preserve">   'Put us on your list for when your cleaner doesn't turn up.' No budget, no decision, no risk.</t>
  </si>
  <si>
    <t xml:space="preserve">   The easiest yes in this business. You get called the moment a competitor fails.</t>
  </si>
  <si>
    <t xml:space="preserve">   → Fill-in jobs are where contracts come from.</t>
  </si>
  <si>
    <t>Commercial General Liability</t>
  </si>
  <si>
    <t xml:space="preserve">   THE DESTINATION — THE CONTRACT</t>
  </si>
  <si>
    <t>Find managers, not buildings. One manager runs many sites — win the relationship and you get the lot. Tenants usually do NOT control the cleaning decision.</t>
  </si>
  <si>
    <t xml:space="preserve">   Track it deliberately in the Contract stage column. A one-off job that never becomes a</t>
  </si>
  <si>
    <t>Norm is $1M per occurrence / $2M aggregate; $2M/$5M for higher-risk sites</t>
  </si>
  <si>
    <t>B · CURRENT CLEANER</t>
  </si>
  <si>
    <t xml:space="preserve">   contract conversation is a job you did, not a client you won.</t>
  </si>
  <si>
    <t>Free</t>
  </si>
  <si>
    <t>High</t>
  </si>
  <si>
    <t>THE highest-leverage source, and the fastest route to multiple CONTRACTS. Start here.</t>
  </si>
  <si>
    <t>HOW THIS WORKS</t>
  </si>
  <si>
    <t>Event management companies</t>
  </si>
  <si>
    <t>Partner for event and post-event cleaning. One relationship = repeat jobs. Evenings/weekends, fits around daytime contracts.</t>
  </si>
  <si>
    <t>Five tabs. You work in Leads. Everything else supports it.</t>
  </si>
  <si>
    <t>Med</t>
  </si>
  <si>
    <t>Can name client as additional insured</t>
  </si>
  <si>
    <t>Otis already list Events as a service. Scope: front-of-house, floors, washrooms, waste — NOT kitchens.</t>
  </si>
  <si>
    <t>Routinely required before building access is granted</t>
  </si>
  <si>
    <t>1. Read me</t>
  </si>
  <si>
    <t xml:space="preserve">   This page.</t>
  </si>
  <si>
    <t>SEAO — Quebec public tenders</t>
  </si>
  <si>
    <t>C · WHY NOW</t>
  </si>
  <si>
    <t>seao.gouv.qc.ca — free, no account. Shows OPEN tenders and AWARDED contracts (who won, how much). Schools, CEGEPs, municipalities.</t>
  </si>
  <si>
    <t>2. Compliance pack</t>
  </si>
  <si>
    <t>Only place you can see who currently cleans a public body, and when their contract is up.</t>
  </si>
  <si>
    <t>Certificate turnaround time</t>
  </si>
  <si>
    <t xml:space="preserve">   What must be true before a quote can close. Fill in ONCE. A quote that dies three weeks in</t>
  </si>
  <si>
    <t>Buyers verify with the carrier directly. Slow certificates lose jobs</t>
  </si>
  <si>
    <t xml:space="preserve">   because a certificate was missing is the most avoidable loss there is.</t>
  </si>
  <si>
    <t>Referrals from the 3 existing sites</t>
  </si>
  <si>
    <t>Ask each site manager who else they know. Incentivise with a discount on their next month. Ask for a REFERRAL, never sell to them.</t>
  </si>
  <si>
    <t>3. Where to look</t>
  </si>
  <si>
    <t>Low</t>
  </si>
  <si>
    <t xml:space="preserve">   Where leads come from, best first. Work down. Do not skip to the bottom.</t>
  </si>
  <si>
    <t>Highest conversion of anything on this list.</t>
  </si>
  <si>
    <t>4. Leads</t>
  </si>
  <si>
    <t>West Island Chamber of Commerce</t>
  </si>
  <si>
    <t xml:space="preserve">   The working tab. Colour-coded by who fills each column — see the legend on that tab.</t>
  </si>
  <si>
    <t>ccoim.ca — anglophone-corridor business body, member directory + events. Also SME MTL West Island.</t>
  </si>
  <si>
    <t>CHECK</t>
  </si>
  <si>
    <t>5. Pipeline</t>
  </si>
  <si>
    <t>D · CONTACT</t>
  </si>
  <si>
    <t>Membership cost unconfirmed — verify before spending.</t>
  </si>
  <si>
    <t>30-day cancellation notice on policy</t>
  </si>
  <si>
    <t xml:space="preserve">   Counts everything automatically. Do not type in it.</t>
  </si>
  <si>
    <t>Commonly written into contracts</t>
  </si>
  <si>
    <t>2</t>
  </si>
  <si>
    <t>COLOUR CODE ON THE LEADS TAB</t>
  </si>
  <si>
    <t xml:space="preserve">   BLUE   — the Otis Lead Sourcing skill fills these for you.</t>
  </si>
  <si>
    <t>CNESST registered and in good standing</t>
  </si>
  <si>
    <t>Mandatory for Quebec employers</t>
  </si>
  <si>
    <t xml:space="preserve">   AMBER  — YOU fill these by hand as the work happens. These are the ones to look for.</t>
  </si>
  <si>
    <t xml:space="preserve">   GREY   — calculates itself. Never type in these.</t>
  </si>
  <si>
    <t>LinkedIn</t>
  </si>
  <si>
    <t>CNESST attestation de conformite available</t>
  </si>
  <si>
    <t>THE RULES</t>
  </si>
  <si>
    <t>E · CASL EVIDENCE</t>
  </si>
  <si>
    <t>Releases the CLIENT from liability for your unpaid contributions. This is a SALES asset</t>
  </si>
  <si>
    <t>Search by JOB TITLE: Facilities Manager, Property Manager, Office Manager. Filter to the corridor. Only platform that finds the decision-maker as a role.</t>
  </si>
  <si>
    <t>•  Offer a WALKTHROUGH, not a pitch.</t>
  </si>
  <si>
    <t>•  Send the proposal FAST. Slow proposals lose more deals than high prices do.</t>
  </si>
  <si>
    <t>Lead with this if targeting multi-tenant buildings.</t>
  </si>
  <si>
    <t>Decree (CPEEP) status confirmed</t>
  </si>
  <si>
    <t>Client is jointly liable for an underpriced rival's unpaid wages. Same logic — sell it</t>
  </si>
  <si>
    <t>•  Name a supervisor in every proposal. 'No named supervisor' is a known deal-killer.</t>
  </si>
  <si>
    <t>F · PIPELINE</t>
  </si>
  <si>
    <t>Facebook</t>
  </si>
  <si>
    <t>•  Fill in Source URL and Date collected on EVERY row. Legal record under CASL, and the</t>
  </si>
  <si>
    <t>(a) Monitor local groups for 'can anyone recommend a commercial cleaner' posts — that is INBOUND, not cold. (b) Marketplace commercial listings = new tenancy. (c) New business pages.</t>
  </si>
  <si>
    <t>Crew composition under art. 2.03(2)</t>
  </si>
  <si>
    <t xml:space="preserve">   burden of proof is on the sender. No exceptions.</t>
  </si>
  <si>
    <t>Solo or immediate family = outside the decree. One non-family hire moves the floor ~$16/hr to ~$48/hr</t>
  </si>
  <si>
    <t>Lead with this if targeting owner-operated single sites.</t>
  </si>
  <si>
    <t>•  Never quote a price before a walkthrough.</t>
  </si>
  <si>
    <t>•  Follow up more than feels comfortable. Most people do not reply first time.</t>
  </si>
  <si>
    <t xml:space="preserve">  → FB groups to build out</t>
  </si>
  <si>
    <t>Post-reno decree coverage confirmed</t>
  </si>
  <si>
    <t>Unresolved. Worth ~$7/hr. ONE CALL: CPEEP 514 384-6640</t>
  </si>
  <si>
    <t>Search each corridor name x business/community/shop local/buy-sell. Then by sector. Then follow FB's related-group suggestions. RANK BY: does anyone actually post recommendation requests?</t>
  </si>
  <si>
    <t>•  Every won job asks one question afterwards: can this become a contract?</t>
  </si>
  <si>
    <t>Known so far: West Island Community Montreal; West Island Community; Montreal Business Networking; Montreal Small Business Owners; SHOP LOCAL West Island &amp; Montreal; West Island/Dorval/Lachine Sell-Buy-Advertise. NEEDS A PROPER SWEEP.</t>
  </si>
  <si>
    <t>Event-work decree coverage confirmed</t>
  </si>
  <si>
    <t>G · CASH</t>
  </si>
  <si>
    <t>WHAT THEY ARE ACTUALLY BUYING</t>
  </si>
  <si>
    <t>Same question, for event and post-event work</t>
  </si>
  <si>
    <t>Not clean premises. Fewer complaints, and one less problem to manage.</t>
  </si>
  <si>
    <t>Instagram</t>
  </si>
  <si>
    <t>Follow GCs, commercial interior designers, architects, commercial realtors. They post finished fit-outs — often pre-occupancy. Identifies the building AND the contractor.</t>
  </si>
  <si>
    <t>NEQ / Quebec business registration</t>
  </si>
  <si>
    <t>Confirmed active</t>
  </si>
  <si>
    <t>Best single source for the post-construction trigger.</t>
  </si>
  <si>
    <t>Registraire des entreprises</t>
  </si>
  <si>
    <t>H · PATH TO CONTRACT</t>
  </si>
  <si>
    <t>New business registrations = new premises = shopping for vendors.</t>
  </si>
  <si>
    <t>Trigger source.</t>
  </si>
  <si>
    <t>— COMMERCIAL NORMS —</t>
  </si>
  <si>
    <t>Borough permit portals</t>
  </si>
  <si>
    <t>Renovation and fit-out permits = post-construction work coming.</t>
  </si>
  <si>
    <t>Named account supervisor</t>
  </si>
  <si>
    <t>'No named supervisor' is a known reason deals die after the walkthrough</t>
  </si>
  <si>
    <t>Trigger source. Scattered but doable for one market.</t>
  </si>
  <si>
    <t>Business name</t>
  </si>
  <si>
    <t>Commercial real estate listings</t>
  </si>
  <si>
    <t>Inspection schedule and frequency</t>
  </si>
  <si>
    <t>New leases and tenancies.</t>
  </si>
  <si>
    <t>Must be stated in the proposal, not just done</t>
  </si>
  <si>
    <t>Sector</t>
  </si>
  <si>
    <t>Neighbourhood</t>
  </si>
  <si>
    <t>AngloINFO Montreal directory</t>
  </si>
  <si>
    <t>Anglophone-specific business directory. On-target for the chosen market.</t>
  </si>
  <si>
    <t>Language</t>
  </si>
  <si>
    <t>Complaint process + response time</t>
  </si>
  <si>
    <t>Approx sq ft</t>
  </si>
  <si>
    <t>Buyers are purchasing fewer complaints. Say how you handle them</t>
  </si>
  <si>
    <t>Public or private</t>
  </si>
  <si>
    <t>Property manager (if any)</t>
  </si>
  <si>
    <t>3</t>
  </si>
  <si>
    <t>Staff screening / background checks</t>
  </si>
  <si>
    <t>Has a cleaner?</t>
  </si>
  <si>
    <t>You are asking for keys to their building unsupervised</t>
  </si>
  <si>
    <t>Key handling and after-hours access</t>
  </si>
  <si>
    <t>Tenants in buildings already cleaned</t>
  </si>
  <si>
    <t>The trust gap. Write it down</t>
  </si>
  <si>
    <t>Leave cards for other tenants in the 3 current buildings. Word of mouth travels faster inside a building than between them.</t>
  </si>
  <si>
    <t>Currently not being done. Free.</t>
  </si>
  <si>
    <t>Who</t>
  </si>
  <si>
    <t>How we know</t>
  </si>
  <si>
    <t>Contract value (public)</t>
  </si>
  <si>
    <t>Scope template: daily vs periodic</t>
  </si>
  <si>
    <t>Award date</t>
  </si>
  <si>
    <t>General contractors</t>
  </si>
  <si>
    <t>Vague scope kills deals</t>
  </si>
  <si>
    <t>Est. renewal window</t>
  </si>
  <si>
    <t>For post-construction. One operator built a 7-figure business this way and won a 12-person RECURRING contract off one warehouse final-clean.</t>
  </si>
  <si>
    <t>SEAO ref</t>
  </si>
  <si>
    <t>Trigger</t>
  </si>
  <si>
    <t>Pairs with the Instagram monitoring above.</t>
  </si>
  <si>
    <t>Trigger live until</t>
  </si>
  <si>
    <t>Hard floors?</t>
  </si>
  <si>
    <t>Consumables in or out</t>
  </si>
  <si>
    <t>Adjacent vendors</t>
  </si>
  <si>
    <t>Best-fit offer</t>
  </si>
  <si>
    <t>Paper, soap. State it or argue about it later</t>
  </si>
  <si>
    <t>Food service, landscaping, security firms already serving schools and offices. They know the facilities director and are not competitors.</t>
  </si>
  <si>
    <t>Referral partnerships.</t>
  </si>
  <si>
    <t>Score</t>
  </si>
  <si>
    <t>Smaller cleaning companies</t>
  </si>
  <si>
    <t>Explicit exclusions list</t>
  </si>
  <si>
    <t>Overflow partnerships — they pass on work they cannot take.</t>
  </si>
  <si>
    <t>What costs extra</t>
  </si>
  <si>
    <t>Priority</t>
  </si>
  <si>
    <t>Contact name</t>
  </si>
  <si>
    <t>Role</t>
  </si>
  <si>
    <t>Phone</t>
  </si>
  <si>
    <t>Email</t>
  </si>
  <si>
    <t>Competitor intelligence</t>
  </si>
  <si>
    <t>Pricing model stated</t>
  </si>
  <si>
    <t>Best approach</t>
  </si>
  <si>
    <t>Competitor client lists, case studies, and their Google reviews — reviewers routinely name their own business.</t>
  </si>
  <si>
    <t>Flat rate vs hourly vs per sq ft</t>
  </si>
  <si>
    <t>Referred by</t>
  </si>
  <si>
    <t>Source URL</t>
  </si>
  <si>
    <t>Date collected</t>
  </si>
  <si>
    <t>Date approached</t>
  </si>
  <si>
    <t>4</t>
  </si>
  <si>
    <t>Quote validity period</t>
  </si>
  <si>
    <t>Walkthrough booked</t>
  </si>
  <si>
    <t>30 days is conventional — and a legitimate reason to follow up</t>
  </si>
  <si>
    <t>Walkthrough done</t>
  </si>
  <si>
    <t>Proposal sent</t>
  </si>
  <si>
    <t>Days to proposal</t>
  </si>
  <si>
    <t>Quote value $</t>
  </si>
  <si>
    <t>Payment terms</t>
  </si>
  <si>
    <t>Google Business Profile</t>
  </si>
  <si>
    <t>Compliance pack sent?</t>
  </si>
  <si>
    <t>Job date</t>
  </si>
  <si>
    <t>Populate Services (currently empty). Turn on messaging. Resume posts. Ask the 3 sites for reviews using COMMERCIAL language.</t>
  </si>
  <si>
    <t>Follow-up date</t>
  </si>
  <si>
    <t>Invoiced date</t>
  </si>
  <si>
    <t>Market is net-30, often net-45/60. No deposit as standard policy</t>
  </si>
  <si>
    <t>Paid date</t>
  </si>
  <si>
    <t>Visibility, not acquisition. Target ~20 reviews — the janitorial peer set, not 587.</t>
  </si>
  <si>
    <t>Amount paid $</t>
  </si>
  <si>
    <t>On backup list?</t>
  </si>
  <si>
    <t>Contract stage</t>
  </si>
  <si>
    <t>X</t>
  </si>
  <si>
    <t>Contract value $/mo</t>
  </si>
  <si>
    <t>Deposit — GC/post-construction only</t>
  </si>
  <si>
    <t>GCs pay slowly. 20% or progress payments are normal in construction</t>
  </si>
  <si>
    <t>Cromwell Management</t>
  </si>
  <si>
    <t>Lead-resale services</t>
  </si>
  <si>
    <t>AVOID. Same lead sold to 3-4 competitors. One operator's client permanently refused a supplier over an aggressive lead rep.</t>
  </si>
  <si>
    <t>—</t>
  </si>
  <si>
    <t>Standard CONTRACT template ready</t>
  </si>
  <si>
    <t>Do not use.</t>
  </si>
  <si>
    <t>You cannot convert a one-off into a contract without one</t>
  </si>
  <si>
    <t>Subcontract-broker models</t>
  </si>
  <si>
    <t>AVOID. Requires misrepresenting your company structure to clients.</t>
  </si>
  <si>
    <t>Before/after photo library</t>
  </si>
  <si>
    <t>No visible proof of work exists anywhere today</t>
  </si>
  <si>
    <t>References from the 3 existing sites</t>
  </si>
  <si>
    <t>Ask permission before naming anyone</t>
  </si>
  <si>
    <t>Property manager</t>
  </si>
  <si>
    <t>Kirkland</t>
  </si>
  <si>
    <t>EN</t>
  </si>
  <si>
    <t>Private</t>
  </si>
  <si>
    <t>Unknown</t>
  </si>
  <si>
    <t>Not yet known</t>
  </si>
  <si>
    <t>Pre-winter floors</t>
  </si>
  <si>
    <t>One-off - Strip &amp; wax</t>
  </si>
  <si>
    <t>PIPELINE</t>
  </si>
  <si>
    <t>Everything here reads from the Leads tab. Do not type in column B.</t>
  </si>
  <si>
    <t>THE DESTINATION</t>
  </si>
  <si>
    <t>LONG-TERM CONTRACTS WON</t>
  </si>
  <si>
    <t>The actual goal. Everything else is a route to this.</t>
  </si>
  <si>
    <t>Recurring value won ($/month)</t>
  </si>
  <si>
    <t>Capacity remaining</t>
  </si>
  <si>
    <t>Michael Doroshenko</t>
  </si>
  <si>
    <t>Director of Commercial Leasing</t>
  </si>
  <si>
    <t>514-824-2278</t>
  </si>
  <si>
    <t>Ceiling is 3-5 medium contracts. Do not oversell.</t>
  </si>
  <si>
    <t>Call</t>
  </si>
  <si>
    <t>ROUTES IN</t>
  </si>
  <si>
    <t>https://cromwellmgt.ca/en/contact/</t>
  </si>
  <si>
    <t>New clients won (total)</t>
  </si>
  <si>
    <t>The GTS scorecard</t>
  </si>
  <si>
    <t xml:space="preserve">  of which one-off jobs</t>
  </si>
  <si>
    <t>Route 1 — the way in</t>
  </si>
  <si>
    <t xml:space="preserve">  of which straight to contract</t>
  </si>
  <si>
    <t>Not started</t>
  </si>
  <si>
    <t>On the backup list</t>
  </si>
  <si>
    <t>Route 2 — the easiest yes there is</t>
  </si>
  <si>
    <t>CONTRACT CONVERSION</t>
  </si>
  <si>
    <t>Contract raised in conversation</t>
  </si>
  <si>
    <t>Contract proposals sent</t>
  </si>
  <si>
    <t>Won jobs NOT yet raised</t>
  </si>
  <si>
    <t>Not yet raised</t>
  </si>
  <si>
    <t>CALL ONLY - a placeholder email was removed on 16 Sept 2026. No published address verified, so there is no CASL basis. Michael Doroshenko, Director of Commercial Leasing, is a named contact found on a commercial property listing - phone him.</t>
  </si>
  <si>
    <t>Groupe Shapiro</t>
  </si>
  <si>
    <t>Pointe-Claire</t>
  </si>
  <si>
    <t>Bilingual</t>
  </si>
  <si>
    <t>⚠️ Every one of these is a missed contract. Chase them.</t>
  </si>
  <si>
    <t>One-off → contract rate</t>
  </si>
  <si>
    <t>New tenancy / move</t>
  </si>
  <si>
    <t>The number that proves the whole strategy</t>
  </si>
  <si>
    <t>Total leads</t>
  </si>
  <si>
    <t>Matthew Krantzberg</t>
  </si>
  <si>
    <t>Leasing - 225 Hymus</t>
  </si>
  <si>
    <t>514-833-6208</t>
  </si>
  <si>
    <t>https://www.loopnet.ca/Listing/225-Boul-Hymus-Pointe-claire-QC/28602128/</t>
  </si>
  <si>
    <t>A — go now</t>
  </si>
  <si>
    <t>Work these first</t>
  </si>
  <si>
    <t>B — worth it</t>
  </si>
  <si>
    <t>C — later</t>
  </si>
  <si>
    <t>STALE — trigger expired</t>
  </si>
  <si>
    <t>TIER 1. Manages 225 Boul Hymus, Pointe-Claire - offices 100-2,000 sq ft, newly renovated, COMMON WASHROOMS (shared areas = the cleaning contract). Multi-tenant, so new tenants arrive constantly. Other contacts: Steven Glazer 514-933-5112 x262, Gregory Depatie 514-951-8587. $30/sq ft/yr asking.</t>
  </si>
  <si>
    <t>TRAMS Property Management</t>
  </si>
  <si>
    <t>⚠️ Re-run the sourcing skill on these</t>
  </si>
  <si>
    <t>Disqualified</t>
  </si>
  <si>
    <t>Other - in corridor</t>
  </si>
  <si>
    <t>Wrong sector. Do not work these</t>
  </si>
  <si>
    <t>A-leads not yet approached</t>
  </si>
  <si>
    <t>⚠️ If this is high, nothing else matters</t>
  </si>
  <si>
    <t>ACTIVITY</t>
  </si>
  <si>
    <t>Reception - ask for property manager</t>
  </si>
  <si>
    <t>514-341-8600</t>
  </si>
  <si>
    <t>info@tramsmgmt.com</t>
  </si>
  <si>
    <t>Contacted</t>
  </si>
  <si>
    <t>https://tramsmgmt.com/</t>
  </si>
  <si>
    <t>Walkthroughs done</t>
  </si>
  <si>
    <t>Proposals sent</t>
  </si>
  <si>
    <t>Referrals received</t>
  </si>
  <si>
    <t>TIER 1. COMMERCIAL properties in Dollard-des-Ormeaux, Kirkland and Anjou - all corridor. Office 5151 de la Savane. No named contact published - get one on the call.</t>
  </si>
  <si>
    <t>VS Property Management / VS Gestion Immobiliere</t>
  </si>
  <si>
    <t>Lachine</t>
  </si>
  <si>
    <t>Walkthrough → proposal</t>
  </si>
  <si>
    <t>438-265-1855</t>
  </si>
  <si>
    <t>info@vsgestionimmo.com</t>
  </si>
  <si>
    <t>https://www.vsgestionimmo.com/</t>
  </si>
  <si>
    <t>Avg days walkthrough → proposal</t>
  </si>
  <si>
    <t>TIER 1. Commercial/retail/industrial. Corridor property: 9960-9970 Cote-de-Liesse, Lachine (24,746 sq ft). Head office is Brossard - lead with the Lachine building, not the company.</t>
  </si>
  <si>
    <t>World Gym Dollard-des-Ormeaux</t>
  </si>
  <si>
    <t>Gym / Studio</t>
  </si>
  <si>
    <t>Dollard-des-Ormeaux</t>
  </si>
  <si>
    <t>⚠️ Slow proposals lose deals. Keep this low</t>
  </si>
  <si>
    <t>MONEY</t>
  </si>
  <si>
    <t>Yes</t>
  </si>
  <si>
    <t>Total quoted</t>
  </si>
  <si>
    <t>Reception - ask for club manager</t>
  </si>
  <si>
    <t>438-600-2100</t>
  </si>
  <si>
    <t>Walk-in</t>
  </si>
  <si>
    <t>https://wgq.ca/en/world-gym-dollard-des-ormeaux/</t>
  </si>
  <si>
    <t>Value of won jobs</t>
  </si>
  <si>
    <t>Total paid in</t>
  </si>
  <si>
    <t>42,000 SQ FT - largest in this batch. 3237 Des Sources Blvd. Open 24h Tue-Thu, so floor work needs planning - but high traffic plus winter salt makes this the strongest floor-care case here. No email published: CALL OR WALK IN ONLY.</t>
  </si>
  <si>
    <t>GYM Fit Forme Pointe-Claire</t>
  </si>
  <si>
    <t>Actual cash, not promises</t>
  </si>
  <si>
    <t>Outstanding</t>
  </si>
  <si>
    <t>Reception - ask for manager</t>
  </si>
  <si>
    <t>514-643-1888</t>
  </si>
  <si>
    <t>https://gymfitforme.com/en/west-island/</t>
  </si>
  <si>
    <t>2375 Trans-Canada Hwy, Pointe-Claire. ONE OF FOUR BRANCHES - a win here could become four sites. Showers and saunas add wet-area work. 24h for premium members. No email published: CALL OR WALK IN ONLY.</t>
  </si>
  <si>
    <t>Energie EnCorps</t>
  </si>
  <si>
    <t>One-off - Deep clean</t>
  </si>
  <si>
    <t>Reception - ask for owner</t>
  </si>
  <si>
    <t>514-505-9642</t>
  </si>
  <si>
    <t>https://energieencorps.com/contact/</t>
  </si>
  <si>
    <t>18 Place de la Triade #230, Pointe-Claire. Yoga, fitness and holistic health - 35+ classes a week plus massage, osteopathy, reiki. Treatment rooms mean hygiene matters more than in a normal gym. No email published: CALL OR WALK IN ONLY.</t>
  </si>
  <si>
    <t>The Learning Tree Daycare</t>
  </si>
  <si>
    <t>Daycare / CPE</t>
  </si>
  <si>
    <t>Reception - ask for director</t>
  </si>
  <si>
    <t>514-683-8426</t>
  </si>
  <si>
    <t>https://thelearningtree.ca/contact-us/</t>
  </si>
  <si>
    <t>16 Rue de Seville, DDO. ANGLOPHONE daycare serving Kirkland, Pierrefonds, Pointe-Claire, DDO. Regulation angle applies: equipment must be disinfected outside childrens presence - which means evenings, which means a contract. No email published: CALL ONLY.</t>
  </si>
  <si>
    <t>Garderie Bebe et Cie</t>
  </si>
  <si>
    <t>514-583-8309</t>
  </si>
  <si>
    <t>info@bebeetcie.com</t>
  </si>
  <si>
    <t>http://bebeetcie.com/</t>
  </si>
  <si>
    <t>4830 Boul St-Jean, Pierrefonds. Ages 3 months to 5 years. Closed weekends = clean access Sat/Sun. Same regulation angle as any daycare: disinfection outside childrens presence.</t>
  </si>
  <si>
    <t>Clinique Dentaire Pointe-Claire</t>
  </si>
  <si>
    <t>Medical clinic</t>
  </si>
  <si>
    <t>Catalina Zambrano</t>
  </si>
  <si>
    <t>Privacy Officer - route to office manager</t>
  </si>
  <si>
    <t>514-697-7391</t>
  </si>
  <si>
    <t>info@cliniquedentairepointeclaire.com</t>
  </si>
  <si>
    <t>https://cliniquedentairepointeclaire.com/about-us/</t>
  </si>
  <si>
    <t>1 Ave Holiday #250, Pointe-Claire. TWO TRIGGERS: recently relocated to Holiday Ave (new premises) AND pre-winter floors. 30+ yrs in the West Island. Multiple operatories. Closed weekends = clean access. Hard floors inferred from clinical norms; confirm at walkthrough.</t>
  </si>
  <si>
    <t>Centre Dentaire Lakeshore</t>
  </si>
  <si>
    <t>Dr Sochea Da Lung-Tor</t>
  </si>
  <si>
    <t>Principal dentist</t>
  </si>
  <si>
    <t>514-694-5716</t>
  </si>
  <si>
    <t>https://centredentairelakeshore.com/get-in-touch/</t>
  </si>
  <si>
    <t>22 Canvin St, Kirkland. 3 dentists, 8 staff. Behind Lakeshore General Hospital. Second dentist: Dr Duc-Minh Lam-Do. NO EMAIL PUBLISHED - CALL ONLY, no CASL basis to email. Hard floors inferred from clinical norms.</t>
  </si>
  <si>
    <t>Beaconsfield Dentistry</t>
  </si>
  <si>
    <t>Dr Mark Reich</t>
  </si>
  <si>
    <t>514-697-7107</t>
  </si>
  <si>
    <t>contact@beaconsfielddentistry.com</t>
  </si>
  <si>
    <t>https://beaconsfielddentistry.com/contact.php</t>
  </si>
  <si>
    <t>2969 Saint Charles Blvd, Kirkland. 50+ yrs in the West Island. Second dentist: Dr Paul Deep. Closes 3pm Fridays - good weekend access. Hard floors inferred from clinical norms.</t>
  </si>
  <si>
    <t>Beaconsfield Medical Clinic</t>
  </si>
  <si>
    <t>Beaconsfield</t>
  </si>
  <si>
    <t>Reception - ask for clinic manager</t>
  </si>
  <si>
    <t>514-375-5342</t>
  </si>
  <si>
    <t>https://www.cmbeaconsfield.com/en/contact-us</t>
  </si>
  <si>
    <t>Doctors, nurse practitioners AND an on-site pharmacy - bigger footprint than a dental practice. Serves Beaconsfield, Pierrefonds, Pointe-Claire, Kirkland. NO EMAIL PUBLISHED - CALL ONLY. Get the clinic managers name on the call.</t>
  </si>
  <si>
    <t>Placements Sergakis Inc. (181 Hymus + portfolio)</t>
  </si>
  <si>
    <t>Office</t>
  </si>
  <si>
    <t>Self-managed</t>
  </si>
  <si>
    <t>Sylvie Filion</t>
  </si>
  <si>
    <t>Supervisor, Repairs and Maintenance</t>
  </si>
  <si>
    <t>514-937-6137 ext 225</t>
  </si>
  <si>
    <t>Sylvie.fillion@sergakis.com</t>
  </si>
  <si>
    <t>https://en.sergakis.com/contactez-nous</t>
  </si>
  <si>
    <t>BEST OF BATCH. Multi-building commercial + residential landlord, head office LaSalle. Publishes a named maintenance supervisor with direct email on its own contact page - that is the cleaning buyer, published, CASL-clean. Second contact: Mark Bedard, Commercial Real Estate Director, mbedard@sergakis.com, 514-803-0011. 181 Hymus Pointe-Claire office listed 1,660-13,260 sq ft. One relationship covers a portfolio.</t>
  </si>
  <si>
    <t>Michael White Realties Inc. (271 Labrosse)</t>
  </si>
  <si>
    <t>Michael White Realties</t>
  </si>
  <si>
    <t>514-488-5111</t>
  </si>
  <si>
    <t>mwr@whiteinc.ca</t>
  </si>
  <si>
    <t>https://www.mwr.ca/contact-us/</t>
  </si>
  <si>
    <t>Commercial/industrial brokerage and manager, office at 6800 Cote-de-Liesse Saint-Laurent. Manages 271 Av Labrosse Pointe-Claire, 1,000-10,000 sq ft office. General published email only - ask for whoever handles building services.</t>
  </si>
  <si>
    <t>Groupe Petra (1 Holiday Ave)</t>
  </si>
  <si>
    <t>Groupe Petra Ltd</t>
  </si>
  <si>
    <t>514-321-7515</t>
  </si>
  <si>
    <t>info@groupepetra.com</t>
  </si>
  <si>
    <t>https://groupepetra.com/</t>
  </si>
  <si>
    <t>Manages 1 Av Holiday Pointe-Claire, 994-19,508 sq ft office building. Head office 8000 Langelier, Saint-Leonard. Large portfolio incl. 1000 de la Gauchetiere. General published email only.</t>
  </si>
  <si>
    <t>Epic Quebec Inc. (6000 Trans-Canada, Dorval)</t>
  </si>
  <si>
    <t>Dorval</t>
  </si>
  <si>
    <t>Epic Quebec / Epic Investment Services</t>
  </si>
  <si>
    <t>Sabrina Grassi</t>
  </si>
  <si>
    <t>Leasing contact</t>
  </si>
  <si>
    <t>438-812-7878</t>
  </si>
  <si>
    <t>ldragu@epicquebec.com</t>
  </si>
  <si>
    <t>https://ia.ca/business/office-space/6000-trans-canada-highway</t>
  </si>
  <si>
    <t>Manages 6000 Trans-Canada for iA Financial Group. Building is 218,338 sq ft, expanded 2010 and 2014 - industrial/office mix with 18 docks, so likely ABOVE Otis capacity for a full contract; work it for one-off floor care and the backup list, not a recurring bid. Published email is on the landlord's leasing page.</t>
  </si>
  <si>
    <t>BGI - 6600 Trans-Canada, Pointe-Claire</t>
  </si>
  <si>
    <t>BGI</t>
  </si>
  <si>
    <t>https://www.loopnet.ca/Listing/6600-Rte-Transcanadienne-Pointe-claire-QC/26089956/</t>
  </si>
  <si>
    <t>CALL ONLY / WALK-IN - no published email found. 85,454 sq ft multi-tenant office, built 1975, listing states 'Property Manager on Site'. Older building with a new interior restaurant fit-out = live renovation signal. On-site manager means a walk-in is realistic. Suites 450-6,582 sq ft.</t>
  </si>
  <si>
    <t>Plaza Pointe Claire Inc. (245-325 St-Jean)</t>
  </si>
  <si>
    <t>Plaza Pointe Claire Inc.</t>
  </si>
  <si>
    <t>https://www.loopnet.ca/search/office-space/pointe-claire-qc--canada/for-lease/</t>
  </si>
  <si>
    <t>CALL ONLY - no published email found. Office space 657-16,807 sq ft across 245-325 Boul Saint-Jean. Owner-managed. Needs a name before it is workable.</t>
  </si>
  <si>
    <t>Kells Academy (3 campuses)</t>
  </si>
  <si>
    <t>School</t>
  </si>
  <si>
    <t>NDG</t>
  </si>
  <si>
    <t>514-487-2345</t>
  </si>
  <si>
    <t>kadmin@kells.ca</t>
  </si>
  <si>
    <t>https://kells.ca/index.php?Itemid=203</t>
  </si>
  <si>
    <t>STRONGEST SCHOOL LEAD. Three campuses, all H4B - the same postcode district as Otis at 2447 Madison Ave. Elementary 2290 Cavendish; High School 6865 De Maisonneuve W; Grade 12 6645 De Maisonneuve W. ~300 students total so each site is mid-size, inside capacity. Three buildings under one administration = contract-shaped from the first conversation. Published general admin email.</t>
  </si>
  <si>
    <t>Hebrew Foundation School</t>
  </si>
  <si>
    <t>514-684-6270</t>
  </si>
  <si>
    <t>communication@hfs.qc.ca</t>
  </si>
  <si>
    <t>https://www.hfs.qc.ca/</t>
  </si>
  <si>
    <t>2 rue Hope, DDO H9A 2V5. Bilingual, preschool to grade 6 plus a separate high school division - two buildings. Published general email. Note: preschool division on site means the disinfection-outside-children's-presence angle applies here too.</t>
  </si>
  <si>
    <t>West Island College</t>
  </si>
  <si>
    <t>514-683-4660</t>
  </si>
  <si>
    <t>https://wicmtl.ca/</t>
  </si>
  <si>
    <t>CALL ONLY - site obfuscates its email address, so no CASL basis. 851 Tecumseh, DDO H9B 2L2. Independent school, FEEP member. Ask for the business manager or director general.</t>
  </si>
  <si>
    <t>Emmanuel Christian School</t>
  </si>
  <si>
    <t>514-696-6430</t>
  </si>
  <si>
    <t>https://ville.ddo.qc.ca/en/live/community-and-institutions/educational-institutions/</t>
  </si>
  <si>
    <t>CALL ONLY - site blocked to automated fetch, no published email verified. 4698 rue St-Jean, DDO. Listed on the City of DDO educational institutions page.</t>
  </si>
  <si>
    <t>Montreal Confucius School</t>
  </si>
  <si>
    <t>514-691-0412</t>
  </si>
  <si>
    <t>CALL ONLY - no published email verified. 851 Tecumseh, DDO - shares an address with West Island College, so likely a tenant in that building. Ask who cleans before pitching: this may be the landlord's decision. Weekend/supplementary school, so lower volume.</t>
  </si>
  <si>
    <t>St. George's School of Montreal</t>
  </si>
  <si>
    <t>Westmount</t>
  </si>
  <si>
    <t>514-937-9289</t>
  </si>
  <si>
    <t>https://www.stgeorges.qc.ca/</t>
  </si>
  <si>
    <t>CALL ONLY on purpose. Two Westmount campuses - 3685 The Boulevard and 3100 Le Boulevard - K to 12, founded 1930. Only admissions@stgeorges.qc.ca is published, which is not the facilities buyer, so there is no role-relevant CASL basis. Phone and ask for the business manager.</t>
  </si>
  <si>
    <t>English Montreal School Board / Lester B. Pearson School Board</t>
  </si>
  <si>
    <t>Public</t>
  </si>
  <si>
    <t>Contract expiring</t>
  </si>
  <si>
    <t>Recurring contract</t>
  </si>
  <si>
    <t>DO NOT COLD-APPROACH. Both are public bodies - their cleaning is tendered through SEAO, so a call to a principal goes nowhere. LBPSB 514-422-3000. This row exists as a standing watch item: the SEAO feed is the route, on the contract-expiry trigger. Loaded as a reminder, not a lead - set Status accordingly.</t>
  </si>
  <si>
    <t>Beaurepaire Preschool</t>
  </si>
  <si>
    <t>Kindergarten / preschool</t>
  </si>
  <si>
    <t>Registrar</t>
  </si>
  <si>
    <t>514-695-4609</t>
  </si>
  <si>
    <t>registrar@beaurepairepreschool.com</t>
  </si>
  <si>
    <t>https://westislandmommies.com/directory/preschools-2/</t>
  </si>
  <si>
    <t>25 Fieldfare, Beaconsfield. Published email. Likely a co-op or small independent - decision may sit with a volunteer parent board, so expect a slower yes. Verify who owns the building before scoring as live.</t>
  </si>
  <si>
    <t>Magic Circle Preschool</t>
  </si>
  <si>
    <t>514-608-9956</t>
  </si>
  <si>
    <t>info@magiccirclepreschool.com</t>
  </si>
  <si>
    <t>313 Windermere Road, Beaconsfield H9W 1W1. Published email and own website. Appears to be a standalone operator rather than a co-op, which makes the decision faster.</t>
  </si>
  <si>
    <t>Montessori School of Pointe-Claire</t>
  </si>
  <si>
    <t>514-697-3792</t>
  </si>
  <si>
    <t>montessori.school.pc@gmail.com</t>
  </si>
  <si>
    <t>116 Sunderland Ave, Pointe-Claire. Published email. Montessori settings use extensive floor-level materials and hard floors, which makes the disinfection-outside-children's-presence angle unusually strong here.</t>
  </si>
  <si>
    <t>Coolbrooke Park Preschool</t>
  </si>
  <si>
    <t>438-936-7671</t>
  </si>
  <si>
    <t>coolbrookepreschool@gmail.com</t>
  </si>
  <si>
    <t>260 Spring Garden, DDO. Published on the City of DDO page. Small site - check whether the premises are municipally owned before treating it as a live prospect.</t>
  </si>
  <si>
    <t>Westpark Cooperative Preschool</t>
  </si>
  <si>
    <t>City of Dollard-des-Ormeaux (probable)</t>
  </si>
  <si>
    <t>Backup list</t>
  </si>
  <si>
    <t>514-400-8133</t>
  </si>
  <si>
    <t>westparkpreschool@hotmail.com</t>
  </si>
  <si>
    <t>Operates from the Terry Fox park chalet, 100 Fairview, DDO (also listed at 85 Hemingway). BUILDING IS PROBABLY CITY-OWNED - the municipality may already clean it, so confirm before pitching a contract. Backup list is the right first ask here. Parent co-op, volunteer board.</t>
  </si>
  <si>
    <t>Dorval Preschool Co-op</t>
  </si>
  <si>
    <t>City of Dorval (probable)</t>
  </si>
  <si>
    <t>514-633-4000</t>
  </si>
  <si>
    <t>DorvalPreschoolCoopSDCC@gmail.com</t>
  </si>
  <si>
    <t>Inside the Sarto Desnoyers Community Centre, 1335 Lakeshore Drive, Dorval. BUILDING IS MUNICIPAL - City of Dorval very likely cleans it. Worth a call to confirm; if the City does clean it, the real lead is the City's facilities team, not the co-op.</t>
  </si>
  <si>
    <t>Prematernelle Parksites Preschool</t>
  </si>
  <si>
    <t>St. Columba Church (probable)</t>
  </si>
  <si>
    <t>438-989-7908</t>
  </si>
  <si>
    <t>info@parksites.ca</t>
  </si>
  <si>
    <t>Operates from St. Columba Church, 11 Rodney Ave, Pointe-Claire. CHURCH-OWNED BUILDING - the parish may already clean it. If so the church itself is the better lead. Confirm on the call.</t>
  </si>
  <si>
    <t>Garderie educative Ange gardien</t>
  </si>
  <si>
    <t>514-685-2032</t>
  </si>
  <si>
    <t>CALL ONLY - no published email. 3869 Sources Blvd #100, DDO. Private garderie rather than a subsidised CPE, so it buys its own services directly - better odds than a CPE.</t>
  </si>
  <si>
    <t>Or-Maimonide Day Care</t>
  </si>
  <si>
    <t>514-676-1531</t>
  </si>
  <si>
    <t>CALL ONLY - no published email. 96 Fredmir, DDO. Likely linked to the Or-Maimonide school network, which could open a larger relationship.</t>
  </si>
  <si>
    <t>CPE Les Bois Verts</t>
  </si>
  <si>
    <t>FR</t>
  </si>
  <si>
    <t>514-684-7712</t>
  </si>
  <si>
    <t>CALL ONLY - no published email. 50 Seville, DDO. Subsidised CPE, so purchasing may run through a group arrangement - unverified. French-named operator, outside the anglophone rule strictly speaking; loaded for completeness of the DDO sweep, deprioritise.</t>
  </si>
  <si>
    <t>CPE Dollard</t>
  </si>
  <si>
    <t>514-683-7366</t>
  </si>
  <si>
    <t>CALL ONLY - no published email. 2000 De Salaberry Blvd, DDO. Subsidised CPE, same caveat as Les Bois Verts. Deprioritise under the anglophone rule.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</si>
</sst>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8">
    <font>
      <sz val="11.0"/>
      <color theme="1"/>
      <name val="Calibri"/>
      <scheme val="minor"/>
    </font>
    <font>
      <b/>
      <sz val="16.0"/>
      <color rgb="FF1F3A5F"/>
      <name val="Calibri"/>
      <scheme val="minor"/>
    </font>
    <font>
      <b/>
      <sz val="10.0"/>
      <color rgb="FFFFFFFF"/>
      <name val="Calibri"/>
      <scheme val="minor"/>
    </font>
    <font>
      <i/>
      <sz val="10.0"/>
      <color rgb="FF475569"/>
      <name val="Calibri"/>
      <scheme val="minor"/>
    </font>
    <font/>
    <font>
      <b/>
      <sz val="12.0"/>
      <color rgb="FF0F766E"/>
      <name val="Calibri"/>
      <scheme val="minor"/>
    </font>
    <font>
      <b/>
      <sz val="11.0"/>
      <color rgb="FFFFFFFF"/>
      <name val="Calibri"/>
      <scheme val="minor"/>
    </font>
    <font>
      <b/>
      <sz val="11.0"/>
      <color rgb="FF1F3A5F"/>
      <name val="Calibri"/>
      <scheme val="minor"/>
    </font>
    <font>
      <b/>
      <color rgb="FFFFFFFF"/>
      <name val="Calibri"/>
      <scheme val="minor"/>
    </font>
    <font>
      <b/>
      <sz val="10.0"/>
      <color theme="1"/>
      <name val="Calibri"/>
      <scheme val="minor"/>
    </font>
    <font>
      <sz val="11.0"/>
      <color theme="1"/>
      <name val="Calibri"/>
    </font>
    <font>
      <b/>
      <sz val="9.0"/>
      <color rgb="FFFFFFFF"/>
      <name val="Calibri"/>
      <scheme val="minor"/>
    </font>
    <font>
      <color theme="1"/>
      <name val="Calibri"/>
      <scheme val="minor"/>
    </font>
    <font>
      <b/>
      <sz val="14.0"/>
      <color rgb="FF0F766E"/>
      <name val="Calibri"/>
      <scheme val="minor"/>
    </font>
    <font>
      <i/>
      <sz val="10.0"/>
      <color rgb="FF334155"/>
      <name val="Calibri"/>
      <scheme val="minor"/>
    </font>
    <font>
      <b/>
      <sz val="22.0"/>
      <color rgb="FF0F766E"/>
      <name val="Calibri"/>
      <scheme val="minor"/>
    </font>
    <font>
      <b/>
      <sz val="12.0"/>
      <color rgb="FF1F3A5F"/>
      <name val="Calibri"/>
      <scheme val="minor"/>
    </font>
    <font>
      <u/>
      <color rgb="FF0000FF"/>
    </font>
  </fonts>
  <fills count="16">
    <fill>
      <patternFill patternType="none"/>
    </fill>
    <fill>
      <patternFill patternType="lightGray"/>
    </fill>
    <fill>
      <patternFill patternType="solid">
        <fgColor rgb="FF1E40AF"/>
        <bgColor rgb="FF1E40AF"/>
      </patternFill>
    </fill>
    <fill>
      <patternFill patternType="solid">
        <fgColor rgb="FFB45309"/>
        <bgColor rgb="FFB45309"/>
      </patternFill>
    </fill>
    <fill>
      <patternFill patternType="solid">
        <fgColor rgb="FF1F3A5F"/>
        <bgColor rgb="FF1F3A5F"/>
      </patternFill>
    </fill>
    <fill>
      <patternFill patternType="solid">
        <fgColor rgb="FF475569"/>
        <bgColor rgb="FF475569"/>
      </patternFill>
    </fill>
    <fill>
      <patternFill patternType="solid">
        <fgColor rgb="FF0F766E"/>
        <bgColor rgb="FF0F766E"/>
      </patternFill>
    </fill>
    <fill>
      <patternFill patternType="solid">
        <fgColor rgb="FF7C2D12"/>
        <bgColor rgb="FF7C2D12"/>
      </patternFill>
    </fill>
    <fill>
      <patternFill patternType="solid">
        <fgColor rgb="FF3730A3"/>
        <bgColor rgb="FF3730A3"/>
      </patternFill>
    </fill>
    <fill>
      <patternFill patternType="solid">
        <fgColor rgb="FF9F1239"/>
        <bgColor rgb="FF9F1239"/>
      </patternFill>
    </fill>
    <fill>
      <patternFill patternType="solid">
        <fgColor rgb="FF0C4A6E"/>
        <bgColor rgb="FF0C4A6E"/>
      </patternFill>
    </fill>
    <fill>
      <patternFill patternType="solid">
        <fgColor rgb="FF166534"/>
        <bgColor rgb="FF166534"/>
      </patternFill>
    </fill>
    <fill>
      <patternFill patternType="solid">
        <fgColor rgb="FF5B21B6"/>
        <bgColor rgb="FF5B21B6"/>
      </patternFill>
    </fill>
    <fill>
      <patternFill patternType="solid">
        <fgColor rgb="FF64748B"/>
        <bgColor rgb="FF64748B"/>
      </patternFill>
    </fill>
    <fill>
      <patternFill patternType="solid">
        <fgColor rgb="FF94A3B8"/>
        <bgColor rgb="FF94A3B8"/>
      </patternFill>
    </fill>
    <fill>
      <patternFill patternType="solid">
        <fgColor rgb="FF991B1B"/>
        <bgColor rgb="FF991B1B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vertical="center"/>
    </xf>
    <xf borderId="0" fillId="0" fontId="3" numFmtId="0" xfId="0" applyFont="1"/>
    <xf borderId="2" fillId="0" fontId="4" numFmtId="0" xfId="0" applyBorder="1" applyFont="1"/>
    <xf borderId="0" fillId="0" fontId="0" numFmtId="0" xfId="0" applyFont="1"/>
    <xf borderId="3" fillId="0" fontId="4" numFmtId="0" xfId="0" applyBorder="1" applyFont="1"/>
    <xf borderId="0" fillId="0" fontId="5" numFmtId="0" xfId="0" applyFont="1"/>
    <xf borderId="1" fillId="3" fontId="2" numFmtId="0" xfId="0" applyAlignment="1" applyBorder="1" applyFill="1" applyFont="1">
      <alignment horizontal="center" vertical="center"/>
    </xf>
    <xf borderId="4" fillId="4" fontId="2" numFmtId="0" xfId="0" applyAlignment="1" applyBorder="1" applyFill="1" applyFont="1">
      <alignment shrinkToFit="0" vertical="center" wrapText="1"/>
    </xf>
    <xf borderId="1" fillId="5" fontId="2" numFmtId="0" xfId="0" applyAlignment="1" applyBorder="1" applyFill="1" applyFont="1">
      <alignment horizontal="center" vertical="center"/>
    </xf>
    <xf borderId="4" fillId="6" fontId="6" numFmtId="0" xfId="0" applyAlignment="1" applyBorder="1" applyFill="1" applyFont="1">
      <alignment shrinkToFit="0" vertical="top" wrapText="1"/>
    </xf>
    <xf borderId="0" fillId="0" fontId="7" numFmtId="0" xfId="0" applyFont="1"/>
    <xf borderId="4" fillId="6" fontId="8" numFmtId="0" xfId="0" applyAlignment="1" applyBorder="1" applyFill="1" applyFont="1">
      <alignment horizontal="center" vertical="center"/>
    </xf>
    <xf borderId="1" fillId="4" fontId="2" numFmtId="0" xfId="0" applyAlignment="1" applyBorder="1" applyFill="1" applyFont="1">
      <alignment horizontal="center" vertical="center"/>
    </xf>
    <xf borderId="4" fillId="0" fontId="9" numFmtId="0" xfId="0" applyAlignment="1" applyBorder="1" applyFont="1">
      <alignment shrinkToFit="0" vertical="top" wrapText="1"/>
    </xf>
    <xf borderId="4" fillId="0" fontId="10" numFmtId="0" xfId="0" applyAlignment="1" applyBorder="1" applyFont="1">
      <alignment shrinkToFit="0" vertical="top" wrapText="1"/>
    </xf>
    <xf borderId="1" fillId="6" fontId="2" numFmtId="0" xfId="0" applyAlignment="1" applyBorder="1" applyFill="1" applyFont="1">
      <alignment horizontal="center" vertical="center"/>
    </xf>
    <xf borderId="1" fillId="7" fontId="2" numFmtId="0" xfId="0" applyAlignment="1" applyBorder="1" applyFill="1" applyFont="1">
      <alignment horizontal="center" vertical="center"/>
    </xf>
    <xf borderId="1" fillId="8" fontId="2" numFmtId="0" xfId="0" applyAlignment="1" applyBorder="1" applyFill="1" applyFont="1">
      <alignment horizontal="center" vertical="center"/>
    </xf>
    <xf borderId="4" fillId="4" fontId="8" numFmtId="0" xfId="0" applyAlignment="1" applyBorder="1" applyFill="1" applyFont="1">
      <alignment horizontal="center" vertical="center"/>
    </xf>
    <xf borderId="1" fillId="9" fontId="2" numFmtId="0" xfId="0" applyAlignment="1" applyBorder="1" applyFill="1" applyFont="1">
      <alignment horizontal="center" vertical="center"/>
    </xf>
    <xf borderId="1" fillId="10" fontId="2" numFmtId="0" xfId="0" applyAlignment="1" applyBorder="1" applyFill="1" applyFont="1">
      <alignment horizontal="center" vertical="center"/>
    </xf>
    <xf borderId="1" fillId="11" fontId="2" numFmtId="0" xfId="0" applyAlignment="1" applyBorder="1" applyFill="1" applyFont="1">
      <alignment horizontal="center" vertical="center"/>
    </xf>
    <xf borderId="1" fillId="12" fontId="2" numFmtId="0" xfId="0" applyAlignment="1" applyBorder="1" applyFill="1" applyFont="1">
      <alignment horizontal="center" vertical="center"/>
    </xf>
    <xf borderId="4" fillId="2" fontId="11" numFmtId="0" xfId="0" applyAlignment="1" applyBorder="1" applyFill="1" applyFont="1">
      <alignment horizontal="center" shrinkToFit="0" vertical="center" wrapText="1"/>
    </xf>
    <xf borderId="4" fillId="13" fontId="8" numFmtId="0" xfId="0" applyAlignment="1" applyBorder="1" applyFill="1" applyFont="1">
      <alignment horizontal="center" vertical="center"/>
    </xf>
    <xf borderId="4" fillId="3" fontId="11" numFmtId="0" xfId="0" applyAlignment="1" applyBorder="1" applyFill="1" applyFont="1">
      <alignment horizontal="center" shrinkToFit="0" vertical="center" wrapText="1"/>
    </xf>
    <xf borderId="4" fillId="5" fontId="11" numFmtId="0" xfId="0" applyAlignment="1" applyBorder="1" applyFill="1" applyFont="1">
      <alignment horizontal="center" shrinkToFit="0" vertical="center" wrapText="1"/>
    </xf>
    <xf borderId="4" fillId="14" fontId="8" numFmtId="0" xfId="0" applyAlignment="1" applyBorder="1" applyFill="1" applyFont="1">
      <alignment horizontal="center" vertical="center"/>
    </xf>
    <xf borderId="4" fillId="15" fontId="8" numFmtId="0" xfId="0" applyAlignment="1" applyBorder="1" applyFill="1" applyFont="1">
      <alignment horizontal="center" vertical="center"/>
    </xf>
    <xf borderId="0" fillId="0" fontId="12" numFmtId="0" xfId="0" applyAlignment="1" applyFont="1">
      <alignment readingOrder="0"/>
    </xf>
    <xf borderId="0" fillId="0" fontId="12" numFmtId="0" xfId="0" applyFont="1"/>
    <xf borderId="0" fillId="0" fontId="12" numFmtId="0" xfId="0" applyAlignment="1" applyFont="1">
      <alignment readingOrder="0"/>
    </xf>
    <xf borderId="0" fillId="0" fontId="12" numFmtId="164" xfId="0" applyAlignment="1" applyFont="1" applyNumberFormat="1">
      <alignment readingOrder="0"/>
    </xf>
    <xf borderId="5" fillId="4" fontId="6" numFmtId="0" xfId="0" applyBorder="1" applyFill="1" applyFont="1"/>
    <xf borderId="5" fillId="4" fontId="10" numFmtId="0" xfId="0" applyBorder="1" applyFill="1" applyFont="1"/>
    <xf borderId="0" fillId="0" fontId="13" numFmtId="0" xfId="0" applyFont="1"/>
    <xf borderId="0" fillId="0" fontId="14" numFmtId="0" xfId="0" applyAlignment="1" applyFont="1">
      <alignment horizontal="center"/>
    </xf>
    <xf borderId="0" fillId="0" fontId="15" numFmtId="0" xfId="0" applyAlignment="1" applyFont="1">
      <alignment horizontal="center"/>
    </xf>
    <xf borderId="0" fillId="0" fontId="16" numFmtId="0" xfId="0" applyAlignment="1" applyFont="1">
      <alignment horizontal="center"/>
    </xf>
    <xf borderId="0" fillId="0" fontId="14" numFmtId="0" xfId="0" applyFont="1"/>
    <xf borderId="0" fillId="0" fontId="17" numFmtId="0" xfId="0" applyAlignment="1" applyFont="1">
      <alignment readingOrder="0"/>
    </xf>
  </cellXfs>
  <cellStyles count="1">
    <cellStyle xfId="0" name="Normal" builtinId="0"/>
  </cellStyles>
  <dxfs count="8">
    <dxf>
      <font/>
      <fill>
        <patternFill patternType="solid">
          <fgColor rgb="FFDBEAFE"/>
          <bgColor rgb="FFDBEAFE"/>
        </patternFill>
      </fill>
      <border/>
    </dxf>
    <dxf>
      <font/>
      <fill>
        <patternFill patternType="solid">
          <fgColor rgb="FFFEF3C7"/>
          <bgColor rgb="FFFEF3C7"/>
        </patternFill>
      </fill>
      <border/>
    </dxf>
    <dxf>
      <font/>
      <fill>
        <patternFill patternType="solid">
          <fgColor rgb="FFE2E8F0"/>
          <bgColor rgb="FFE2E8F0"/>
        </patternFill>
      </fill>
      <border/>
    </dxf>
    <dxf>
      <font/>
      <fill>
        <patternFill patternType="solid">
          <fgColor rgb="FFBBF7D0"/>
          <bgColor rgb="FFBBF7D0"/>
        </patternFill>
      </fill>
      <border/>
    </dxf>
    <dxf>
      <font/>
      <fill>
        <patternFill patternType="solid">
          <fgColor rgb="FFFEF08A"/>
          <bgColor rgb="FFFEF08A"/>
        </patternFill>
      </fill>
      <border/>
    </dxf>
    <dxf>
      <font/>
      <fill>
        <patternFill patternType="solid">
          <fgColor rgb="FFFECACA"/>
          <bgColor rgb="FFFECACA"/>
        </patternFill>
      </fill>
      <border/>
    </dxf>
    <dxf>
      <font/>
      <fill>
        <patternFill patternType="solid">
          <fgColor rgb="FFFDBA74"/>
          <bgColor rgb="FFFDBA74"/>
        </patternFill>
      </fill>
      <border/>
    </dxf>
    <dxf>
      <font/>
      <fill>
        <patternFill patternType="solid">
          <fgColor rgb="FF86EFAC"/>
          <bgColor rgb="FF86EFA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kells.ca/index.php?Itemid=203" TargetMode="External"/><Relationship Id="rId22" Type="http://schemas.openxmlformats.org/officeDocument/2006/relationships/hyperlink" Target="https://wicmtl.ca/" TargetMode="External"/><Relationship Id="rId21" Type="http://schemas.openxmlformats.org/officeDocument/2006/relationships/hyperlink" Target="https://www.hfs.qc.ca/" TargetMode="External"/><Relationship Id="rId24" Type="http://schemas.openxmlformats.org/officeDocument/2006/relationships/hyperlink" Target="https://ville.ddo.qc.ca/en/live/community-and-institutions/educational-institutions/" TargetMode="External"/><Relationship Id="rId23" Type="http://schemas.openxmlformats.org/officeDocument/2006/relationships/hyperlink" Target="https://ville.ddo.qc.ca/en/live/community-and-institutions/educational-institutions/" TargetMode="External"/><Relationship Id="rId1" Type="http://schemas.openxmlformats.org/officeDocument/2006/relationships/hyperlink" Target="https://cromwellmgt.ca/en/contact/" TargetMode="External"/><Relationship Id="rId2" Type="http://schemas.openxmlformats.org/officeDocument/2006/relationships/hyperlink" Target="https://www.loopnet.ca/Listing/225-Boul-Hymus-Pointe-claire-QC/28602128/" TargetMode="External"/><Relationship Id="rId3" Type="http://schemas.openxmlformats.org/officeDocument/2006/relationships/hyperlink" Target="https://tramsmgmt.com/" TargetMode="External"/><Relationship Id="rId4" Type="http://schemas.openxmlformats.org/officeDocument/2006/relationships/hyperlink" Target="https://www.vsgestionimmo.com/" TargetMode="External"/><Relationship Id="rId9" Type="http://schemas.openxmlformats.org/officeDocument/2006/relationships/hyperlink" Target="http://bebeetcie.com/" TargetMode="External"/><Relationship Id="rId26" Type="http://schemas.openxmlformats.org/officeDocument/2006/relationships/hyperlink" Target="https://ville.ddo.qc.ca/en/live/community-and-institutions/educational-institutions/" TargetMode="External"/><Relationship Id="rId25" Type="http://schemas.openxmlformats.org/officeDocument/2006/relationships/hyperlink" Target="https://www.stgeorges.qc.ca/" TargetMode="External"/><Relationship Id="rId28" Type="http://schemas.openxmlformats.org/officeDocument/2006/relationships/hyperlink" Target="https://westislandmommies.com/directory/preschools-2/" TargetMode="External"/><Relationship Id="rId27" Type="http://schemas.openxmlformats.org/officeDocument/2006/relationships/hyperlink" Target="https://westislandmommies.com/directory/preschools-2/" TargetMode="External"/><Relationship Id="rId5" Type="http://schemas.openxmlformats.org/officeDocument/2006/relationships/hyperlink" Target="https://wgq.ca/en/world-gym-dollard-des-ormeaux/" TargetMode="External"/><Relationship Id="rId6" Type="http://schemas.openxmlformats.org/officeDocument/2006/relationships/hyperlink" Target="https://gymfitforme.com/en/west-island/" TargetMode="External"/><Relationship Id="rId29" Type="http://schemas.openxmlformats.org/officeDocument/2006/relationships/hyperlink" Target="https://westislandmommies.com/directory/preschools-2/" TargetMode="External"/><Relationship Id="rId7" Type="http://schemas.openxmlformats.org/officeDocument/2006/relationships/hyperlink" Target="https://energieencorps.com/contact/" TargetMode="External"/><Relationship Id="rId8" Type="http://schemas.openxmlformats.org/officeDocument/2006/relationships/hyperlink" Target="https://thelearningtree.ca/contact-us/" TargetMode="External"/><Relationship Id="rId31" Type="http://schemas.openxmlformats.org/officeDocument/2006/relationships/hyperlink" Target="https://westislandmommies.com/directory/preschools-2/" TargetMode="External"/><Relationship Id="rId30" Type="http://schemas.openxmlformats.org/officeDocument/2006/relationships/hyperlink" Target="https://ville.ddo.qc.ca/en/live/community-and-institutions/educational-institutions/" TargetMode="External"/><Relationship Id="rId11" Type="http://schemas.openxmlformats.org/officeDocument/2006/relationships/hyperlink" Target="https://centredentairelakeshore.com/get-in-touch/" TargetMode="External"/><Relationship Id="rId33" Type="http://schemas.openxmlformats.org/officeDocument/2006/relationships/hyperlink" Target="https://westislandmommies.com/directory/preschools-2/" TargetMode="External"/><Relationship Id="rId10" Type="http://schemas.openxmlformats.org/officeDocument/2006/relationships/hyperlink" Target="https://cliniquedentairepointeclaire.com/about-us/" TargetMode="External"/><Relationship Id="rId32" Type="http://schemas.openxmlformats.org/officeDocument/2006/relationships/hyperlink" Target="https://westislandmommies.com/directory/preschools-2/" TargetMode="External"/><Relationship Id="rId13" Type="http://schemas.openxmlformats.org/officeDocument/2006/relationships/hyperlink" Target="https://www.cmbeaconsfield.com/en/contact-us" TargetMode="External"/><Relationship Id="rId35" Type="http://schemas.openxmlformats.org/officeDocument/2006/relationships/hyperlink" Target="https://ville.ddo.qc.ca/en/live/community-and-institutions/educational-institutions/" TargetMode="External"/><Relationship Id="rId12" Type="http://schemas.openxmlformats.org/officeDocument/2006/relationships/hyperlink" Target="https://beaconsfielddentistry.com/contact.php" TargetMode="External"/><Relationship Id="rId34" Type="http://schemas.openxmlformats.org/officeDocument/2006/relationships/hyperlink" Target="https://ville.ddo.qc.ca/en/live/community-and-institutions/educational-institutions/" TargetMode="External"/><Relationship Id="rId15" Type="http://schemas.openxmlformats.org/officeDocument/2006/relationships/hyperlink" Target="https://www.mwr.ca/contact-us/" TargetMode="External"/><Relationship Id="rId37" Type="http://schemas.openxmlformats.org/officeDocument/2006/relationships/hyperlink" Target="https://ville.ddo.qc.ca/en/live/community-and-institutions/educational-institutions/" TargetMode="External"/><Relationship Id="rId14" Type="http://schemas.openxmlformats.org/officeDocument/2006/relationships/hyperlink" Target="https://en.sergakis.com/contactez-nous" TargetMode="External"/><Relationship Id="rId36" Type="http://schemas.openxmlformats.org/officeDocument/2006/relationships/hyperlink" Target="https://ville.ddo.qc.ca/en/live/community-and-institutions/educational-institutions/" TargetMode="External"/><Relationship Id="rId17" Type="http://schemas.openxmlformats.org/officeDocument/2006/relationships/hyperlink" Target="https://ia.ca/business/office-space/6000-trans-canada-highway" TargetMode="External"/><Relationship Id="rId16" Type="http://schemas.openxmlformats.org/officeDocument/2006/relationships/hyperlink" Target="https://groupepetra.com/" TargetMode="External"/><Relationship Id="rId38" Type="http://schemas.openxmlformats.org/officeDocument/2006/relationships/drawing" Target="../drawings/drawing4.xml"/><Relationship Id="rId19" Type="http://schemas.openxmlformats.org/officeDocument/2006/relationships/hyperlink" Target="https://www.loopnet.ca/search/office-space/pointe-claire-qc--canada/for-lease/" TargetMode="External"/><Relationship Id="rId18" Type="http://schemas.openxmlformats.org/officeDocument/2006/relationships/hyperlink" Target="https://www.loopnet.ca/Listing/6600-Rte-Transcanadienne-Pointe-claire-QC/26089956/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2.0"/>
    <col customWidth="1" min="2" max="26" width="8.71"/>
  </cols>
  <sheetData>
    <row r="1">
      <c r="A1" s="1" t="s">
        <v>0</v>
      </c>
    </row>
    <row r="2">
      <c r="A2" s="3" t="s">
        <v>4</v>
      </c>
    </row>
    <row r="3">
      <c r="A3" s="5"/>
    </row>
    <row r="4">
      <c r="A4" s="7" t="s">
        <v>6</v>
      </c>
    </row>
    <row r="5">
      <c r="A5" s="5" t="s">
        <v>8</v>
      </c>
    </row>
    <row r="6">
      <c r="A6" s="5"/>
    </row>
    <row r="7">
      <c r="A7" s="5" t="s">
        <v>9</v>
      </c>
    </row>
    <row r="8">
      <c r="A8" s="5" t="s">
        <v>10</v>
      </c>
    </row>
    <row r="9">
      <c r="A9" s="5"/>
    </row>
    <row r="10">
      <c r="A10" s="5" t="s">
        <v>12</v>
      </c>
    </row>
    <row r="11">
      <c r="A11" s="5"/>
    </row>
    <row r="12">
      <c r="A12" s="12" t="s">
        <v>26</v>
      </c>
    </row>
    <row r="13">
      <c r="A13" s="5" t="s">
        <v>29</v>
      </c>
    </row>
    <row r="14">
      <c r="A14" s="5" t="s">
        <v>30</v>
      </c>
    </row>
    <row r="15">
      <c r="A15" s="5" t="s">
        <v>32</v>
      </c>
    </row>
    <row r="16">
      <c r="A16" s="5"/>
    </row>
    <row r="17">
      <c r="A17" s="12" t="s">
        <v>33</v>
      </c>
    </row>
    <row r="18">
      <c r="A18" s="5" t="s">
        <v>35</v>
      </c>
    </row>
    <row r="19">
      <c r="A19" s="5" t="s">
        <v>36</v>
      </c>
    </row>
    <row r="20">
      <c r="A20" s="5" t="s">
        <v>37</v>
      </c>
    </row>
    <row r="21" ht="15.75" customHeight="1">
      <c r="A21" s="5"/>
    </row>
    <row r="22" ht="15.75" customHeight="1">
      <c r="A22" s="12" t="s">
        <v>39</v>
      </c>
    </row>
    <row r="23" ht="15.75" customHeight="1">
      <c r="A23" s="5" t="s">
        <v>41</v>
      </c>
    </row>
    <row r="24" ht="15.75" customHeight="1">
      <c r="A24" s="5" t="s">
        <v>44</v>
      </c>
    </row>
    <row r="25" ht="15.75" customHeight="1">
      <c r="A25" s="5"/>
    </row>
    <row r="26" ht="15.75" customHeight="1">
      <c r="A26" s="7" t="s">
        <v>48</v>
      </c>
    </row>
    <row r="27" ht="15.75" customHeight="1">
      <c r="A27" s="5" t="s">
        <v>51</v>
      </c>
    </row>
    <row r="28" ht="15.75" customHeight="1">
      <c r="A28" s="5"/>
    </row>
    <row r="29" ht="15.75" customHeight="1">
      <c r="A29" s="12" t="s">
        <v>56</v>
      </c>
    </row>
    <row r="30" ht="15.75" customHeight="1">
      <c r="A30" s="5" t="s">
        <v>57</v>
      </c>
    </row>
    <row r="31" ht="15.75" customHeight="1">
      <c r="A31" s="12" t="s">
        <v>61</v>
      </c>
    </row>
    <row r="32" ht="15.75" customHeight="1">
      <c r="A32" s="5" t="s">
        <v>64</v>
      </c>
    </row>
    <row r="33" ht="15.75" customHeight="1">
      <c r="A33" s="5" t="s">
        <v>66</v>
      </c>
    </row>
    <row r="34" ht="15.75" customHeight="1">
      <c r="A34" s="12" t="s">
        <v>69</v>
      </c>
    </row>
    <row r="35" ht="15.75" customHeight="1">
      <c r="A35" s="5" t="s">
        <v>71</v>
      </c>
    </row>
    <row r="36" ht="15.75" customHeight="1">
      <c r="A36" s="12" t="s">
        <v>73</v>
      </c>
    </row>
    <row r="37" ht="15.75" customHeight="1">
      <c r="A37" s="5" t="s">
        <v>75</v>
      </c>
    </row>
    <row r="38" ht="15.75" customHeight="1">
      <c r="A38" s="12" t="s">
        <v>78</v>
      </c>
    </row>
    <row r="39" ht="15.75" customHeight="1">
      <c r="A39" s="5" t="s">
        <v>82</v>
      </c>
    </row>
    <row r="40" ht="15.75" customHeight="1">
      <c r="A40" s="5"/>
    </row>
    <row r="41" ht="15.75" customHeight="1">
      <c r="A41" s="7" t="s">
        <v>85</v>
      </c>
    </row>
    <row r="42" ht="15.75" customHeight="1">
      <c r="A42" s="5" t="s">
        <v>86</v>
      </c>
    </row>
    <row r="43" ht="15.75" customHeight="1">
      <c r="A43" s="5" t="s">
        <v>89</v>
      </c>
    </row>
    <row r="44" ht="15.75" customHeight="1">
      <c r="A44" s="5" t="s">
        <v>90</v>
      </c>
    </row>
    <row r="45" ht="15.75" customHeight="1">
      <c r="A45" s="5"/>
    </row>
    <row r="46" ht="15.75" customHeight="1">
      <c r="A46" s="7" t="s">
        <v>93</v>
      </c>
    </row>
    <row r="47" ht="15.75" customHeight="1">
      <c r="A47" s="5" t="s">
        <v>97</v>
      </c>
    </row>
    <row r="48" ht="15.75" customHeight="1">
      <c r="A48" s="5" t="s">
        <v>98</v>
      </c>
    </row>
    <row r="49" ht="15.75" customHeight="1">
      <c r="A49" s="5" t="s">
        <v>102</v>
      </c>
    </row>
    <row r="50" ht="15.75" customHeight="1">
      <c r="A50" s="5" t="s">
        <v>105</v>
      </c>
    </row>
    <row r="51" ht="15.75" customHeight="1">
      <c r="A51" s="5" t="s">
        <v>108</v>
      </c>
    </row>
    <row r="52" ht="15.75" customHeight="1">
      <c r="A52" s="5" t="s">
        <v>111</v>
      </c>
    </row>
    <row r="53" ht="15.75" customHeight="1">
      <c r="A53" s="5" t="s">
        <v>112</v>
      </c>
    </row>
    <row r="54" ht="15.75" customHeight="1">
      <c r="A54" s="5" t="s">
        <v>117</v>
      </c>
    </row>
    <row r="55" ht="15.75" customHeight="1">
      <c r="A55" s="5"/>
    </row>
    <row r="56" ht="15.75" customHeight="1">
      <c r="A56" s="7" t="s">
        <v>121</v>
      </c>
    </row>
    <row r="57" ht="15.75" customHeight="1">
      <c r="A57" s="5" t="s">
        <v>123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4.0"/>
    <col customWidth="1" min="2" max="2" width="58.0"/>
    <col customWidth="1" min="3" max="5" width="16.0"/>
    <col customWidth="1" min="6" max="6" width="40.0"/>
    <col customWidth="1" min="7" max="26" width="8.71"/>
  </cols>
  <sheetData>
    <row r="1">
      <c r="A1" s="1" t="s">
        <v>2</v>
      </c>
    </row>
    <row r="2">
      <c r="A2" s="3" t="s">
        <v>11</v>
      </c>
    </row>
    <row r="4" ht="30.0" customHeight="1">
      <c r="A4" s="9" t="s">
        <v>14</v>
      </c>
      <c r="B4" s="9" t="s">
        <v>16</v>
      </c>
      <c r="C4" s="9" t="s">
        <v>17</v>
      </c>
      <c r="D4" s="9" t="s">
        <v>18</v>
      </c>
      <c r="E4" s="9" t="s">
        <v>19</v>
      </c>
      <c r="F4" s="9" t="s">
        <v>20</v>
      </c>
    </row>
    <row r="5" ht="27.75" customHeight="1">
      <c r="A5" s="11" t="s">
        <v>23</v>
      </c>
      <c r="B5" s="11"/>
      <c r="C5" s="11"/>
      <c r="D5" s="11"/>
      <c r="E5" s="11"/>
      <c r="F5" s="11"/>
    </row>
    <row r="6" ht="27.75" customHeight="1">
      <c r="A6" s="15" t="s">
        <v>38</v>
      </c>
      <c r="B6" s="16" t="s">
        <v>42</v>
      </c>
      <c r="C6" s="16"/>
      <c r="D6" s="16"/>
      <c r="E6" s="16"/>
      <c r="F6" s="16"/>
    </row>
    <row r="7" ht="27.75" customHeight="1">
      <c r="A7" s="15" t="s">
        <v>53</v>
      </c>
      <c r="B7" s="16" t="s">
        <v>55</v>
      </c>
      <c r="C7" s="16"/>
      <c r="D7" s="16"/>
      <c r="E7" s="16"/>
      <c r="F7" s="16"/>
    </row>
    <row r="8" ht="27.75" customHeight="1">
      <c r="A8" s="15" t="s">
        <v>63</v>
      </c>
      <c r="B8" s="16" t="s">
        <v>65</v>
      </c>
      <c r="C8" s="16"/>
      <c r="D8" s="16"/>
      <c r="E8" s="16"/>
      <c r="F8" s="16"/>
    </row>
    <row r="9" ht="27.75" customHeight="1">
      <c r="A9" s="15" t="s">
        <v>81</v>
      </c>
      <c r="B9" s="16" t="s">
        <v>83</v>
      </c>
      <c r="C9" s="16"/>
      <c r="D9" s="16"/>
      <c r="E9" s="16"/>
      <c r="F9" s="16"/>
    </row>
    <row r="10" ht="27.75" customHeight="1">
      <c r="A10" s="15" t="s">
        <v>87</v>
      </c>
      <c r="B10" s="16" t="s">
        <v>88</v>
      </c>
      <c r="C10" s="16"/>
      <c r="D10" s="16"/>
      <c r="E10" s="16"/>
      <c r="F10" s="16"/>
    </row>
    <row r="11" ht="27.75" customHeight="1">
      <c r="A11" s="15" t="s">
        <v>92</v>
      </c>
      <c r="B11" s="16" t="s">
        <v>95</v>
      </c>
      <c r="C11" s="16"/>
      <c r="D11" s="16"/>
      <c r="E11" s="16"/>
      <c r="F11" s="16"/>
    </row>
    <row r="12" ht="27.75" customHeight="1">
      <c r="A12" s="15" t="s">
        <v>100</v>
      </c>
      <c r="B12" s="16" t="s">
        <v>101</v>
      </c>
      <c r="C12" s="16"/>
      <c r="D12" s="16"/>
      <c r="E12" s="16"/>
      <c r="F12" s="16"/>
    </row>
    <row r="13" ht="27.75" customHeight="1">
      <c r="A13" s="15" t="s">
        <v>107</v>
      </c>
      <c r="B13" s="16" t="s">
        <v>109</v>
      </c>
      <c r="C13" s="16"/>
      <c r="D13" s="16"/>
      <c r="E13" s="16"/>
      <c r="F13" s="16"/>
    </row>
    <row r="14" ht="27.75" customHeight="1">
      <c r="A14" s="15" t="s">
        <v>114</v>
      </c>
      <c r="B14" s="16" t="s">
        <v>115</v>
      </c>
      <c r="C14" s="16"/>
      <c r="D14" s="16"/>
      <c r="E14" s="16"/>
      <c r="F14" s="16"/>
    </row>
    <row r="15" ht="27.75" customHeight="1">
      <c r="A15" s="15" t="s">
        <v>119</v>
      </c>
      <c r="B15" s="16" t="s">
        <v>122</v>
      </c>
      <c r="C15" s="16"/>
      <c r="D15" s="16"/>
      <c r="E15" s="16"/>
      <c r="F15" s="16"/>
    </row>
    <row r="16" ht="27.75" customHeight="1">
      <c r="A16" s="15" t="s">
        <v>126</v>
      </c>
      <c r="B16" s="16" t="s">
        <v>127</v>
      </c>
      <c r="C16" s="16"/>
      <c r="D16" s="16"/>
      <c r="E16" s="16"/>
      <c r="F16" s="16"/>
    </row>
    <row r="17" ht="27.75" customHeight="1">
      <c r="A17" s="15"/>
      <c r="B17" s="16"/>
      <c r="C17" s="16"/>
      <c r="D17" s="16"/>
      <c r="E17" s="16"/>
      <c r="F17" s="16"/>
    </row>
    <row r="18" ht="27.75" customHeight="1">
      <c r="A18" s="11" t="s">
        <v>133</v>
      </c>
      <c r="B18" s="11"/>
      <c r="C18" s="11"/>
      <c r="D18" s="11"/>
      <c r="E18" s="11"/>
      <c r="F18" s="11"/>
    </row>
    <row r="19" ht="27.75" customHeight="1">
      <c r="A19" s="15" t="s">
        <v>136</v>
      </c>
      <c r="B19" s="16" t="s">
        <v>137</v>
      </c>
      <c r="C19" s="16"/>
      <c r="D19" s="16"/>
      <c r="E19" s="16"/>
      <c r="F19" s="16"/>
    </row>
    <row r="20" ht="27.75" customHeight="1">
      <c r="A20" s="15" t="s">
        <v>141</v>
      </c>
      <c r="B20" s="16" t="s">
        <v>143</v>
      </c>
      <c r="C20" s="16"/>
      <c r="D20" s="16"/>
      <c r="E20" s="16"/>
      <c r="F20" s="16"/>
    </row>
    <row r="21" ht="27.75" customHeight="1">
      <c r="A21" s="15" t="s">
        <v>149</v>
      </c>
      <c r="B21" s="16" t="s">
        <v>151</v>
      </c>
      <c r="C21" s="16"/>
      <c r="D21" s="16"/>
      <c r="E21" s="16"/>
      <c r="F21" s="16"/>
    </row>
    <row r="22" ht="27.75" customHeight="1">
      <c r="A22" s="15" t="s">
        <v>155</v>
      </c>
      <c r="B22" s="16" t="s">
        <v>157</v>
      </c>
      <c r="C22" s="16"/>
      <c r="D22" s="16"/>
      <c r="E22" s="16"/>
      <c r="F22" s="16"/>
    </row>
    <row r="23" ht="27.75" customHeight="1">
      <c r="A23" s="15" t="s">
        <v>158</v>
      </c>
      <c r="B23" s="16" t="s">
        <v>160</v>
      </c>
      <c r="C23" s="16"/>
      <c r="D23" s="16"/>
      <c r="E23" s="16"/>
      <c r="F23" s="16"/>
    </row>
    <row r="24" ht="27.75" customHeight="1">
      <c r="A24" s="15" t="s">
        <v>166</v>
      </c>
      <c r="B24" s="16" t="s">
        <v>169</v>
      </c>
      <c r="C24" s="16"/>
      <c r="D24" s="16"/>
      <c r="E24" s="16"/>
      <c r="F24" s="16"/>
    </row>
    <row r="25" ht="27.75" customHeight="1">
      <c r="A25" s="15" t="s">
        <v>177</v>
      </c>
      <c r="B25" s="16" t="s">
        <v>180</v>
      </c>
      <c r="C25" s="16"/>
      <c r="D25" s="16"/>
      <c r="E25" s="16"/>
      <c r="F25" s="16"/>
    </row>
    <row r="26" ht="27.75" customHeight="1">
      <c r="A26" s="15" t="s">
        <v>185</v>
      </c>
      <c r="B26" s="16" t="s">
        <v>187</v>
      </c>
      <c r="C26" s="16"/>
      <c r="D26" s="16"/>
      <c r="E26" s="16"/>
      <c r="F26" s="16"/>
    </row>
    <row r="27" ht="27.75" customHeight="1">
      <c r="A27" s="15" t="s">
        <v>194</v>
      </c>
      <c r="B27" s="16" t="s">
        <v>197</v>
      </c>
      <c r="C27" s="16"/>
      <c r="D27" s="16"/>
      <c r="E27" s="16"/>
      <c r="F27" s="16"/>
    </row>
    <row r="28" ht="27.75" customHeight="1">
      <c r="A28" s="15" t="s">
        <v>203</v>
      </c>
      <c r="B28" s="16" t="s">
        <v>205</v>
      </c>
      <c r="C28" s="16"/>
      <c r="D28" s="16"/>
      <c r="E28" s="16"/>
      <c r="F28" s="16"/>
    </row>
    <row r="29" ht="27.75" customHeight="1">
      <c r="A29" s="15" t="s">
        <v>210</v>
      </c>
      <c r="B29" s="16" t="s">
        <v>217</v>
      </c>
      <c r="C29" s="16"/>
      <c r="D29" s="16"/>
      <c r="E29" s="16"/>
      <c r="F29" s="16"/>
    </row>
    <row r="30" ht="27.75" customHeight="1">
      <c r="A30" s="15" t="s">
        <v>225</v>
      </c>
      <c r="B30" s="16" t="s">
        <v>226</v>
      </c>
      <c r="C30" s="16"/>
      <c r="D30" s="16"/>
      <c r="E30" s="16"/>
      <c r="F30" s="16"/>
    </row>
    <row r="31" ht="27.75" customHeight="1">
      <c r="A31" s="15" t="s">
        <v>231</v>
      </c>
      <c r="B31" s="16" t="s">
        <v>233</v>
      </c>
      <c r="C31" s="16"/>
      <c r="D31" s="16"/>
      <c r="E31" s="16"/>
      <c r="F31" s="16"/>
    </row>
    <row r="32" ht="27.75" customHeight="1">
      <c r="A32" s="15" t="s">
        <v>236</v>
      </c>
      <c r="B32" s="16" t="s">
        <v>237</v>
      </c>
      <c r="C32" s="16"/>
      <c r="D32" s="16"/>
      <c r="E32" s="16"/>
      <c r="F32" s="16"/>
    </row>
    <row r="33" ht="27.75" customHeight="1">
      <c r="A33" s="15" t="s">
        <v>238</v>
      </c>
      <c r="B33" s="16" t="s">
        <v>239</v>
      </c>
      <c r="C33" s="16"/>
      <c r="D33" s="16"/>
      <c r="E33" s="16"/>
      <c r="F33" s="16"/>
    </row>
    <row r="34" ht="15.75" customHeight="1">
      <c r="C34" s="32"/>
    </row>
    <row r="35" ht="15.75" customHeight="1">
      <c r="C35" s="32"/>
    </row>
    <row r="36" ht="15.75" customHeight="1">
      <c r="C36" s="32"/>
    </row>
    <row r="37" ht="15.75" customHeight="1">
      <c r="C37" s="32"/>
    </row>
    <row r="38" ht="15.75" customHeight="1">
      <c r="C38" s="32"/>
    </row>
    <row r="39" ht="15.75" customHeight="1">
      <c r="C39" s="32"/>
    </row>
    <row r="40" ht="15.75" customHeight="1">
      <c r="C40" s="32"/>
    </row>
    <row r="41" ht="15.75" customHeight="1">
      <c r="C41" s="32"/>
    </row>
    <row r="42" ht="15.75" customHeight="1">
      <c r="C42" s="32"/>
    </row>
    <row r="43" ht="15.75" customHeight="1">
      <c r="C43" s="32"/>
    </row>
    <row r="44" ht="15.75" customHeight="1">
      <c r="C44" s="32"/>
    </row>
    <row r="45" ht="15.75" customHeight="1">
      <c r="C45" s="32"/>
    </row>
    <row r="46" ht="15.75" customHeight="1">
      <c r="C46" s="32"/>
    </row>
    <row r="47" ht="15.75" customHeight="1">
      <c r="C47" s="32"/>
    </row>
    <row r="48" ht="15.75" customHeight="1">
      <c r="C48" s="32"/>
    </row>
    <row r="49" ht="15.75" customHeight="1">
      <c r="C49" s="32"/>
    </row>
    <row r="50" ht="15.75" customHeight="1">
      <c r="C50" s="32"/>
    </row>
    <row r="51" ht="15.75" customHeight="1">
      <c r="C51" s="32"/>
    </row>
    <row r="52" ht="15.75" customHeight="1">
      <c r="C52" s="32"/>
    </row>
    <row r="53" ht="15.75" customHeight="1">
      <c r="C53" s="32"/>
    </row>
    <row r="54" ht="15.75" customHeight="1">
      <c r="C54" s="32"/>
    </row>
    <row r="55" ht="15.75" customHeight="1">
      <c r="C55" s="32"/>
    </row>
    <row r="56" ht="15.75" customHeight="1">
      <c r="C56" s="32"/>
    </row>
    <row r="57" ht="15.75" customHeight="1">
      <c r="C57" s="32"/>
    </row>
    <row r="58" ht="15.75" customHeight="1">
      <c r="C58" s="32"/>
    </row>
    <row r="59" ht="15.75" customHeight="1">
      <c r="C59" s="32"/>
    </row>
    <row r="60" ht="15.75" customHeight="1">
      <c r="C60" s="32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C5:C60">
      <formula1>"Not started,In progress,Confirmed,N/A"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8.0"/>
    <col customWidth="1" min="2" max="2" width="34.0"/>
    <col customWidth="1" min="3" max="3" width="62.0"/>
    <col customWidth="1" min="4" max="5" width="12.0"/>
    <col customWidth="1" min="6" max="6" width="38.0"/>
    <col customWidth="1" min="7" max="26" width="8.71"/>
  </cols>
  <sheetData>
    <row r="1">
      <c r="A1" s="1" t="s">
        <v>1</v>
      </c>
    </row>
    <row r="2">
      <c r="A2" s="3" t="s">
        <v>5</v>
      </c>
    </row>
    <row r="4" ht="30.0" customHeight="1">
      <c r="A4" s="9" t="s">
        <v>15</v>
      </c>
      <c r="B4" s="9" t="s">
        <v>21</v>
      </c>
      <c r="C4" s="9" t="s">
        <v>22</v>
      </c>
      <c r="D4" s="9" t="s">
        <v>24</v>
      </c>
      <c r="E4" s="9" t="s">
        <v>25</v>
      </c>
      <c r="F4" s="9" t="s">
        <v>27</v>
      </c>
    </row>
    <row r="5" ht="45.75" customHeight="1">
      <c r="A5" s="13" t="s">
        <v>28</v>
      </c>
      <c r="B5" s="15" t="s">
        <v>34</v>
      </c>
      <c r="C5" s="16" t="s">
        <v>40</v>
      </c>
      <c r="D5" s="16" t="s">
        <v>45</v>
      </c>
      <c r="E5" s="16" t="s">
        <v>46</v>
      </c>
      <c r="F5" s="16" t="s">
        <v>47</v>
      </c>
    </row>
    <row r="6" ht="45.75" customHeight="1">
      <c r="A6" s="13" t="s">
        <v>28</v>
      </c>
      <c r="B6" s="15" t="s">
        <v>49</v>
      </c>
      <c r="C6" s="16" t="s">
        <v>50</v>
      </c>
      <c r="D6" s="16" t="s">
        <v>45</v>
      </c>
      <c r="E6" s="16" t="s">
        <v>52</v>
      </c>
      <c r="F6" s="16" t="s">
        <v>54</v>
      </c>
    </row>
    <row r="7" ht="45.75" customHeight="1">
      <c r="A7" s="13" t="s">
        <v>28</v>
      </c>
      <c r="B7" s="15" t="s">
        <v>58</v>
      </c>
      <c r="C7" s="16" t="s">
        <v>60</v>
      </c>
      <c r="D7" s="16" t="s">
        <v>45</v>
      </c>
      <c r="E7" s="16" t="s">
        <v>52</v>
      </c>
      <c r="F7" s="16" t="s">
        <v>62</v>
      </c>
    </row>
    <row r="8" ht="45.75" customHeight="1">
      <c r="A8" s="13" t="s">
        <v>28</v>
      </c>
      <c r="B8" s="15" t="s">
        <v>67</v>
      </c>
      <c r="C8" s="16" t="s">
        <v>68</v>
      </c>
      <c r="D8" s="16" t="s">
        <v>45</v>
      </c>
      <c r="E8" s="16" t="s">
        <v>70</v>
      </c>
      <c r="F8" s="16" t="s">
        <v>72</v>
      </c>
    </row>
    <row r="9" ht="45.75" customHeight="1">
      <c r="A9" s="13" t="s">
        <v>28</v>
      </c>
      <c r="B9" s="15" t="s">
        <v>74</v>
      </c>
      <c r="C9" s="16" t="s">
        <v>76</v>
      </c>
      <c r="D9" s="16" t="s">
        <v>77</v>
      </c>
      <c r="E9" s="16" t="s">
        <v>70</v>
      </c>
      <c r="F9" s="16" t="s">
        <v>80</v>
      </c>
    </row>
    <row r="10" ht="45.75" customHeight="1">
      <c r="A10" s="20" t="s">
        <v>84</v>
      </c>
      <c r="B10" s="15" t="s">
        <v>91</v>
      </c>
      <c r="C10" s="16" t="s">
        <v>96</v>
      </c>
      <c r="D10" s="16" t="s">
        <v>45</v>
      </c>
      <c r="E10" s="16" t="s">
        <v>52</v>
      </c>
      <c r="F10" s="16" t="s">
        <v>99</v>
      </c>
    </row>
    <row r="11" ht="45.75" customHeight="1">
      <c r="A11" s="20" t="s">
        <v>84</v>
      </c>
      <c r="B11" s="15" t="s">
        <v>104</v>
      </c>
      <c r="C11" s="16" t="s">
        <v>106</v>
      </c>
      <c r="D11" s="16" t="s">
        <v>45</v>
      </c>
      <c r="E11" s="16" t="s">
        <v>52</v>
      </c>
      <c r="F11" s="16" t="s">
        <v>110</v>
      </c>
    </row>
    <row r="12" ht="45.75" customHeight="1">
      <c r="A12" s="20" t="s">
        <v>84</v>
      </c>
      <c r="B12" s="15" t="s">
        <v>113</v>
      </c>
      <c r="C12" s="16" t="s">
        <v>116</v>
      </c>
      <c r="D12" s="16" t="s">
        <v>45</v>
      </c>
      <c r="E12" s="16" t="s">
        <v>52</v>
      </c>
      <c r="F12" s="16" t="s">
        <v>118</v>
      </c>
    </row>
    <row r="13" ht="45.75" customHeight="1">
      <c r="A13" s="20" t="s">
        <v>84</v>
      </c>
      <c r="B13" s="15" t="s">
        <v>124</v>
      </c>
      <c r="C13" s="16" t="s">
        <v>125</v>
      </c>
      <c r="D13" s="16" t="s">
        <v>45</v>
      </c>
      <c r="E13" s="16" t="s">
        <v>70</v>
      </c>
      <c r="F13" s="16" t="s">
        <v>128</v>
      </c>
    </row>
    <row r="14" ht="45.75" customHeight="1">
      <c r="A14" s="20" t="s">
        <v>84</v>
      </c>
      <c r="B14" s="15" t="s">
        <v>129</v>
      </c>
      <c r="C14" s="16" t="s">
        <v>131</v>
      </c>
      <c r="D14" s="16" t="s">
        <v>45</v>
      </c>
      <c r="E14" s="16" t="s">
        <v>52</v>
      </c>
      <c r="F14" s="16" t="s">
        <v>132</v>
      </c>
    </row>
    <row r="15" ht="45.75" customHeight="1">
      <c r="A15" s="20" t="s">
        <v>84</v>
      </c>
      <c r="B15" s="15" t="s">
        <v>134</v>
      </c>
      <c r="C15" s="16" t="s">
        <v>135</v>
      </c>
      <c r="D15" s="16" t="s">
        <v>45</v>
      </c>
      <c r="E15" s="16" t="s">
        <v>46</v>
      </c>
      <c r="F15" s="16" t="s">
        <v>138</v>
      </c>
    </row>
    <row r="16" ht="45.75" customHeight="1">
      <c r="A16" s="20" t="s">
        <v>84</v>
      </c>
      <c r="B16" s="15" t="s">
        <v>140</v>
      </c>
      <c r="C16" s="16" t="s">
        <v>142</v>
      </c>
      <c r="D16" s="16" t="s">
        <v>45</v>
      </c>
      <c r="E16" s="16" t="s">
        <v>52</v>
      </c>
      <c r="F16" s="16" t="s">
        <v>132</v>
      </c>
    </row>
    <row r="17" ht="45.75" customHeight="1">
      <c r="A17" s="20" t="s">
        <v>84</v>
      </c>
      <c r="B17" s="15" t="s">
        <v>146</v>
      </c>
      <c r="C17" s="16" t="s">
        <v>147</v>
      </c>
      <c r="D17" s="16" t="s">
        <v>45</v>
      </c>
      <c r="E17" s="16" t="s">
        <v>70</v>
      </c>
      <c r="F17" s="16"/>
    </row>
    <row r="18" ht="45.75" customHeight="1">
      <c r="A18" s="26" t="s">
        <v>154</v>
      </c>
      <c r="B18" s="15" t="s">
        <v>159</v>
      </c>
      <c r="C18" s="16" t="s">
        <v>161</v>
      </c>
      <c r="D18" s="16" t="s">
        <v>45</v>
      </c>
      <c r="E18" s="16" t="s">
        <v>70</v>
      </c>
      <c r="F18" s="16" t="s">
        <v>162</v>
      </c>
    </row>
    <row r="19" ht="45.75" customHeight="1">
      <c r="A19" s="26" t="s">
        <v>154</v>
      </c>
      <c r="B19" s="15" t="s">
        <v>168</v>
      </c>
      <c r="C19" s="16" t="s">
        <v>171</v>
      </c>
      <c r="D19" s="16" t="s">
        <v>45</v>
      </c>
      <c r="E19" s="16" t="s">
        <v>52</v>
      </c>
      <c r="F19" s="16" t="s">
        <v>174</v>
      </c>
    </row>
    <row r="20" ht="45.75" customHeight="1">
      <c r="A20" s="26" t="s">
        <v>154</v>
      </c>
      <c r="B20" s="15" t="s">
        <v>178</v>
      </c>
      <c r="C20" s="16" t="s">
        <v>181</v>
      </c>
      <c r="D20" s="16" t="s">
        <v>45</v>
      </c>
      <c r="E20" s="16" t="s">
        <v>70</v>
      </c>
      <c r="F20" s="16" t="s">
        <v>182</v>
      </c>
    </row>
    <row r="21" ht="45.75" customHeight="1">
      <c r="A21" s="26" t="s">
        <v>154</v>
      </c>
      <c r="B21" s="15" t="s">
        <v>184</v>
      </c>
      <c r="C21" s="16" t="s">
        <v>186</v>
      </c>
      <c r="D21" s="16" t="s">
        <v>45</v>
      </c>
      <c r="E21" s="16" t="s">
        <v>70</v>
      </c>
      <c r="F21" s="16"/>
    </row>
    <row r="22" ht="45.75" customHeight="1">
      <c r="A22" s="26" t="s">
        <v>154</v>
      </c>
      <c r="B22" s="15" t="s">
        <v>193</v>
      </c>
      <c r="C22" s="16" t="s">
        <v>196</v>
      </c>
      <c r="D22" s="16" t="s">
        <v>45</v>
      </c>
      <c r="E22" s="16" t="s">
        <v>70</v>
      </c>
      <c r="F22" s="16"/>
    </row>
    <row r="23" ht="45.75" customHeight="1">
      <c r="A23" s="29" t="s">
        <v>202</v>
      </c>
      <c r="B23" s="15" t="s">
        <v>211</v>
      </c>
      <c r="C23" s="16" t="s">
        <v>214</v>
      </c>
      <c r="D23" s="16" t="s">
        <v>45</v>
      </c>
      <c r="E23" s="16" t="s">
        <v>70</v>
      </c>
      <c r="F23" s="16" t="s">
        <v>219</v>
      </c>
    </row>
    <row r="24" ht="45.75" customHeight="1">
      <c r="A24" s="30" t="s">
        <v>223</v>
      </c>
      <c r="B24" s="15" t="s">
        <v>228</v>
      </c>
      <c r="C24" s="16" t="s">
        <v>229</v>
      </c>
      <c r="D24" s="16" t="s">
        <v>230</v>
      </c>
      <c r="E24" s="16" t="s">
        <v>230</v>
      </c>
      <c r="F24" s="16" t="s">
        <v>232</v>
      </c>
    </row>
    <row r="25" ht="45.75" customHeight="1">
      <c r="A25" s="30" t="s">
        <v>223</v>
      </c>
      <c r="B25" s="15" t="s">
        <v>234</v>
      </c>
      <c r="C25" s="16" t="s">
        <v>235</v>
      </c>
      <c r="D25" s="16" t="s">
        <v>230</v>
      </c>
      <c r="E25" s="16" t="s">
        <v>230</v>
      </c>
      <c r="F25" s="16" t="s">
        <v>232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30.0"/>
    <col customWidth="1" min="2" max="2" width="20.0"/>
    <col customWidth="1" min="3" max="3" width="18.0"/>
    <col customWidth="1" min="4" max="4" width="11.0"/>
    <col customWidth="1" min="5" max="5" width="12.0"/>
    <col customWidth="1" min="6" max="6" width="14.0"/>
    <col customWidth="1" min="7" max="7" width="24.0"/>
    <col customWidth="1" min="8" max="8" width="14.0"/>
    <col customWidth="1" min="9" max="10" width="20.0"/>
    <col customWidth="1" min="11" max="11" width="16.0"/>
    <col customWidth="1" min="12" max="12" width="13.0"/>
    <col customWidth="1" min="13" max="13" width="17.0"/>
    <col customWidth="1" min="14" max="14" width="13.0"/>
    <col customWidth="1" min="15" max="15" width="22.0"/>
    <col customWidth="1" min="16" max="16" width="15.0"/>
    <col customWidth="1" min="17" max="17" width="12.0"/>
    <col customWidth="1" min="18" max="18" width="22.0"/>
    <col customWidth="1" min="19" max="19" width="8.0"/>
    <col customWidth="1" min="20" max="20" width="15.0"/>
    <col customWidth="1" min="21" max="22" width="20.0"/>
    <col customWidth="1" min="23" max="23" width="16.0"/>
    <col customWidth="1" min="24" max="24" width="26.0"/>
    <col customWidth="1" min="25" max="25" width="15.0"/>
    <col customWidth="1" min="26" max="26" width="18.0"/>
    <col customWidth="1" min="27" max="27" width="34.0"/>
    <col customWidth="1" min="28" max="28" width="13.0"/>
    <col customWidth="1" min="29" max="29" width="14.0"/>
    <col customWidth="1" min="30" max="30" width="22.0"/>
    <col customWidth="1" min="31" max="32" width="16.0"/>
    <col customWidth="1" min="33" max="33" width="13.0"/>
    <col customWidth="1" min="34" max="34" width="14.0"/>
    <col customWidth="1" min="35" max="35" width="13.0"/>
    <col customWidth="1" min="36" max="36" width="15.0"/>
    <col customWidth="1" min="37" max="37" width="16.0"/>
    <col customWidth="1" min="38" max="38" width="12.0"/>
    <col customWidth="1" min="39" max="40" width="13.0"/>
    <col customWidth="1" min="41" max="41" width="12.0"/>
    <col customWidth="1" min="42" max="42" width="13.0"/>
    <col customWidth="1" min="43" max="43" width="14.0"/>
    <col customWidth="1" min="44" max="44" width="24.0"/>
    <col customWidth="1" min="45" max="45" width="16.0"/>
    <col customWidth="1" min="46" max="46" width="50.0"/>
  </cols>
  <sheetData>
    <row r="1" ht="19.5" customHeight="1">
      <c r="A1" s="2" t="s">
        <v>3</v>
      </c>
      <c r="B1" s="4"/>
      <c r="C1" s="4"/>
      <c r="D1" s="6"/>
      <c r="E1" s="8" t="s">
        <v>7</v>
      </c>
      <c r="F1" s="4"/>
      <c r="G1" s="4"/>
      <c r="H1" s="6"/>
      <c r="I1" s="10" t="s">
        <v>13</v>
      </c>
      <c r="J1" s="4"/>
      <c r="K1" s="4"/>
      <c r="L1" s="6"/>
    </row>
    <row r="2" ht="19.5" customHeight="1">
      <c r="A2" s="14" t="s">
        <v>31</v>
      </c>
      <c r="B2" s="4"/>
      <c r="C2" s="4"/>
      <c r="D2" s="4"/>
      <c r="E2" s="4"/>
      <c r="F2" s="4"/>
      <c r="G2" s="6"/>
      <c r="H2" s="17" t="s">
        <v>43</v>
      </c>
      <c r="I2" s="4"/>
      <c r="J2" s="4"/>
      <c r="K2" s="4"/>
      <c r="L2" s="4"/>
      <c r="M2" s="4"/>
      <c r="N2" s="6"/>
      <c r="O2" s="18" t="s">
        <v>59</v>
      </c>
      <c r="P2" s="4"/>
      <c r="Q2" s="4"/>
      <c r="R2" s="4"/>
      <c r="S2" s="4"/>
      <c r="T2" s="6"/>
      <c r="U2" s="19" t="s">
        <v>79</v>
      </c>
      <c r="V2" s="4"/>
      <c r="W2" s="4"/>
      <c r="X2" s="4"/>
      <c r="Y2" s="4"/>
      <c r="Z2" s="6"/>
      <c r="AA2" s="21" t="s">
        <v>94</v>
      </c>
      <c r="AB2" s="6"/>
      <c r="AC2" s="22" t="s">
        <v>103</v>
      </c>
      <c r="AD2" s="4"/>
      <c r="AE2" s="4"/>
      <c r="AF2" s="4"/>
      <c r="AG2" s="4"/>
      <c r="AH2" s="4"/>
      <c r="AI2" s="4"/>
      <c r="AJ2" s="4"/>
      <c r="AK2" s="4"/>
      <c r="AL2" s="4"/>
      <c r="AM2" s="6"/>
      <c r="AN2" s="23" t="s">
        <v>120</v>
      </c>
      <c r="AO2" s="4"/>
      <c r="AP2" s="6"/>
      <c r="AQ2" s="24" t="s">
        <v>130</v>
      </c>
      <c r="AR2" s="4"/>
      <c r="AS2" s="4"/>
      <c r="AT2" s="6"/>
    </row>
    <row r="3" ht="43.5" customHeight="1">
      <c r="A3" s="25" t="s">
        <v>139</v>
      </c>
      <c r="B3" s="25" t="s">
        <v>144</v>
      </c>
      <c r="C3" s="25" t="s">
        <v>145</v>
      </c>
      <c r="D3" s="25" t="s">
        <v>148</v>
      </c>
      <c r="E3" s="25" t="s">
        <v>150</v>
      </c>
      <c r="F3" s="25" t="s">
        <v>152</v>
      </c>
      <c r="G3" s="25" t="s">
        <v>153</v>
      </c>
      <c r="H3" s="27" t="s">
        <v>156</v>
      </c>
      <c r="I3" s="27" t="s">
        <v>163</v>
      </c>
      <c r="J3" s="27" t="s">
        <v>164</v>
      </c>
      <c r="K3" s="25" t="s">
        <v>165</v>
      </c>
      <c r="L3" s="25" t="s">
        <v>167</v>
      </c>
      <c r="M3" s="25" t="s">
        <v>170</v>
      </c>
      <c r="N3" s="25" t="s">
        <v>172</v>
      </c>
      <c r="O3" s="25" t="s">
        <v>173</v>
      </c>
      <c r="P3" s="25" t="s">
        <v>175</v>
      </c>
      <c r="Q3" s="25" t="s">
        <v>176</v>
      </c>
      <c r="R3" s="25" t="s">
        <v>179</v>
      </c>
      <c r="S3" s="28" t="s">
        <v>183</v>
      </c>
      <c r="T3" s="28" t="s">
        <v>188</v>
      </c>
      <c r="U3" s="25" t="s">
        <v>189</v>
      </c>
      <c r="V3" s="25" t="s">
        <v>190</v>
      </c>
      <c r="W3" s="25" t="s">
        <v>191</v>
      </c>
      <c r="X3" s="25" t="s">
        <v>192</v>
      </c>
      <c r="Y3" s="25" t="s">
        <v>195</v>
      </c>
      <c r="Z3" s="27" t="s">
        <v>198</v>
      </c>
      <c r="AA3" s="25" t="s">
        <v>199</v>
      </c>
      <c r="AB3" s="25" t="s">
        <v>200</v>
      </c>
      <c r="AC3" s="27" t="s">
        <v>201</v>
      </c>
      <c r="AD3" s="27" t="s">
        <v>17</v>
      </c>
      <c r="AE3" s="27" t="s">
        <v>204</v>
      </c>
      <c r="AF3" s="27" t="s">
        <v>206</v>
      </c>
      <c r="AG3" s="27" t="s">
        <v>207</v>
      </c>
      <c r="AH3" s="28" t="s">
        <v>208</v>
      </c>
      <c r="AI3" s="27" t="s">
        <v>209</v>
      </c>
      <c r="AJ3" s="27" t="s">
        <v>210</v>
      </c>
      <c r="AK3" s="27" t="s">
        <v>212</v>
      </c>
      <c r="AL3" s="27" t="s">
        <v>213</v>
      </c>
      <c r="AM3" s="28" t="s">
        <v>215</v>
      </c>
      <c r="AN3" s="27" t="s">
        <v>216</v>
      </c>
      <c r="AO3" s="27" t="s">
        <v>218</v>
      </c>
      <c r="AP3" s="27" t="s">
        <v>220</v>
      </c>
      <c r="AQ3" s="27" t="s">
        <v>221</v>
      </c>
      <c r="AR3" s="27" t="s">
        <v>222</v>
      </c>
      <c r="AS3" s="27" t="s">
        <v>224</v>
      </c>
      <c r="AT3" s="27" t="s">
        <v>20</v>
      </c>
    </row>
    <row r="4">
      <c r="A4" s="31" t="s">
        <v>227</v>
      </c>
      <c r="B4" s="31" t="s">
        <v>240</v>
      </c>
      <c r="C4" s="31" t="s">
        <v>241</v>
      </c>
      <c r="D4" s="31" t="s">
        <v>242</v>
      </c>
      <c r="E4" s="33">
        <v>25000.0</v>
      </c>
      <c r="F4" s="31" t="s">
        <v>243</v>
      </c>
      <c r="G4" s="32" t="s">
        <v>230</v>
      </c>
      <c r="H4" s="32" t="s">
        <v>244</v>
      </c>
      <c r="I4" s="32"/>
      <c r="J4" s="32" t="s">
        <v>245</v>
      </c>
      <c r="K4" s="32"/>
      <c r="L4" s="32"/>
      <c r="M4" s="32"/>
      <c r="N4" s="32"/>
      <c r="O4" s="31" t="s">
        <v>246</v>
      </c>
      <c r="P4" s="34">
        <v>46327.0</v>
      </c>
      <c r="Q4" s="31" t="s">
        <v>244</v>
      </c>
      <c r="R4" s="31" t="s">
        <v>247</v>
      </c>
      <c r="S4" s="38">
        <f t="shared" ref="S4:S100" si="1">IF($A4="","",IF(LEFT($B4,2)="DQ",0,(IF($Q4="Yes",1,0)+IF(AND($O4&lt;&gt;"",$O4&lt;&gt;"None known",OR($P4="",$P4&gt;=TODAY())),1,0)+IF(AND($B4&lt;&gt;"",LEFT($B4,2)&lt;&gt;"DQ"),1,0)+IF(AND($C4&lt;&gt;"",$C4&lt;&gt;"Outside corridor"),1,0)+IF(AND($W4&lt;&gt;"",$U4&lt;&gt;""),1,0)+IF(AND(ISNUMBER($E4),$E4&gt;=3000,$E4&lt;=15000),1,0))))</f>
        <v>4</v>
      </c>
      <c r="T4" s="41" t="str">
        <f t="shared" ref="T4:T100" si="2">IF($A4="","",IF(LEFT($B4,2)="DQ","DQ - do not work",IF(AND($P4&lt;&gt;"",$P4&lt;TODAY()),"STALE - refresh",IF($S4&gt;=5,"A - go now",IF($S4&gt;=3,"B - worth it","C - later")))))</f>
        <v>B - worth it</v>
      </c>
      <c r="U4" s="31" t="s">
        <v>255</v>
      </c>
      <c r="V4" s="31" t="s">
        <v>256</v>
      </c>
      <c r="W4" s="31" t="s">
        <v>257</v>
      </c>
      <c r="X4" s="32"/>
      <c r="Y4" s="31" t="s">
        <v>259</v>
      </c>
      <c r="Z4" s="32"/>
      <c r="AA4" s="42" t="s">
        <v>261</v>
      </c>
      <c r="AB4" s="34">
        <v>46281.0</v>
      </c>
      <c r="AC4" s="32"/>
      <c r="AD4" s="31" t="s">
        <v>267</v>
      </c>
      <c r="AE4" s="32"/>
      <c r="AF4" s="32"/>
      <c r="AG4" s="32"/>
      <c r="AH4" s="41" t="str">
        <f t="shared" ref="AH4:AH100" si="3">IF(OR($AF4="",$AG4=""),"",$AG4-$AF4)</f>
        <v/>
      </c>
      <c r="AI4" s="32"/>
      <c r="AJ4" s="32"/>
      <c r="AK4" s="32"/>
      <c r="AL4" s="32"/>
      <c r="AM4" s="41" t="str">
        <f t="shared" ref="AM4:AM100" si="4">IF($AG4="","",$AG4+30)</f>
        <v/>
      </c>
      <c r="AN4" s="32"/>
      <c r="AO4" s="32"/>
      <c r="AP4" s="32"/>
      <c r="AQ4" s="32"/>
      <c r="AR4" s="31" t="s">
        <v>274</v>
      </c>
      <c r="AS4" s="32"/>
      <c r="AT4" s="31" t="s">
        <v>275</v>
      </c>
    </row>
    <row r="5">
      <c r="A5" s="31" t="s">
        <v>276</v>
      </c>
      <c r="B5" s="31" t="s">
        <v>240</v>
      </c>
      <c r="C5" s="31" t="s">
        <v>277</v>
      </c>
      <c r="D5" s="31" t="s">
        <v>278</v>
      </c>
      <c r="E5" s="32"/>
      <c r="F5" s="31" t="s">
        <v>243</v>
      </c>
      <c r="G5" s="32"/>
      <c r="H5" s="32"/>
      <c r="I5" s="32"/>
      <c r="J5" s="32"/>
      <c r="K5" s="32"/>
      <c r="L5" s="32"/>
      <c r="M5" s="32"/>
      <c r="N5" s="32"/>
      <c r="O5" s="31" t="s">
        <v>281</v>
      </c>
      <c r="P5" s="34">
        <v>46327.0</v>
      </c>
      <c r="Q5" s="31" t="s">
        <v>244</v>
      </c>
      <c r="R5" s="31" t="s">
        <v>247</v>
      </c>
      <c r="S5" s="38">
        <f t="shared" si="1"/>
        <v>4</v>
      </c>
      <c r="T5" s="41" t="str">
        <f t="shared" si="2"/>
        <v>B - worth it</v>
      </c>
      <c r="U5" s="31" t="s">
        <v>284</v>
      </c>
      <c r="V5" s="31" t="s">
        <v>285</v>
      </c>
      <c r="W5" s="31" t="s">
        <v>286</v>
      </c>
      <c r="X5" s="32"/>
      <c r="Y5" s="31" t="s">
        <v>259</v>
      </c>
      <c r="Z5" s="32"/>
      <c r="AA5" s="42" t="s">
        <v>287</v>
      </c>
      <c r="AB5" s="34">
        <v>46281.0</v>
      </c>
      <c r="AC5" s="32"/>
      <c r="AD5" s="31" t="s">
        <v>267</v>
      </c>
      <c r="AE5" s="32"/>
      <c r="AF5" s="32"/>
      <c r="AG5" s="32"/>
      <c r="AH5" s="41" t="str">
        <f t="shared" si="3"/>
        <v/>
      </c>
      <c r="AI5" s="32"/>
      <c r="AJ5" s="32"/>
      <c r="AK5" s="32"/>
      <c r="AL5" s="32"/>
      <c r="AM5" s="41" t="str">
        <f t="shared" si="4"/>
        <v/>
      </c>
      <c r="AN5" s="32"/>
      <c r="AO5" s="32"/>
      <c r="AP5" s="32"/>
      <c r="AQ5" s="32"/>
      <c r="AR5" s="31" t="s">
        <v>274</v>
      </c>
      <c r="AS5" s="32"/>
      <c r="AT5" s="31" t="s">
        <v>293</v>
      </c>
    </row>
    <row r="6">
      <c r="A6" s="31" t="s">
        <v>294</v>
      </c>
      <c r="B6" s="31" t="s">
        <v>240</v>
      </c>
      <c r="C6" s="31" t="s">
        <v>297</v>
      </c>
      <c r="D6" s="31" t="s">
        <v>242</v>
      </c>
      <c r="E6" s="32"/>
      <c r="F6" s="31" t="s">
        <v>243</v>
      </c>
      <c r="G6" s="32"/>
      <c r="H6" s="32"/>
      <c r="I6" s="32"/>
      <c r="J6" s="32"/>
      <c r="K6" s="32"/>
      <c r="L6" s="32"/>
      <c r="M6" s="32"/>
      <c r="N6" s="32"/>
      <c r="O6" s="31" t="s">
        <v>246</v>
      </c>
      <c r="P6" s="34">
        <v>46327.0</v>
      </c>
      <c r="Q6" s="31" t="s">
        <v>244</v>
      </c>
      <c r="R6" s="31" t="s">
        <v>247</v>
      </c>
      <c r="S6" s="38">
        <f t="shared" si="1"/>
        <v>3</v>
      </c>
      <c r="T6" s="41" t="str">
        <f t="shared" si="2"/>
        <v>B - worth it</v>
      </c>
      <c r="U6" s="32"/>
      <c r="V6" s="31" t="s">
        <v>302</v>
      </c>
      <c r="W6" s="31" t="s">
        <v>303</v>
      </c>
      <c r="X6" s="31" t="s">
        <v>304</v>
      </c>
      <c r="Y6" s="31" t="s">
        <v>259</v>
      </c>
      <c r="Z6" s="32"/>
      <c r="AA6" s="42" t="s">
        <v>306</v>
      </c>
      <c r="AB6" s="34">
        <v>46281.0</v>
      </c>
      <c r="AC6" s="32"/>
      <c r="AD6" s="31" t="s">
        <v>267</v>
      </c>
      <c r="AE6" s="32"/>
      <c r="AF6" s="32"/>
      <c r="AG6" s="32"/>
      <c r="AH6" s="41" t="str">
        <f t="shared" si="3"/>
        <v/>
      </c>
      <c r="AI6" s="32"/>
      <c r="AJ6" s="32"/>
      <c r="AK6" s="32"/>
      <c r="AL6" s="32"/>
      <c r="AM6" s="41" t="str">
        <f t="shared" si="4"/>
        <v/>
      </c>
      <c r="AN6" s="32"/>
      <c r="AO6" s="32"/>
      <c r="AP6" s="32"/>
      <c r="AQ6" s="32"/>
      <c r="AR6" s="31" t="s">
        <v>274</v>
      </c>
      <c r="AS6" s="32"/>
      <c r="AT6" s="31" t="s">
        <v>310</v>
      </c>
    </row>
    <row r="7">
      <c r="A7" s="31" t="s">
        <v>311</v>
      </c>
      <c r="B7" s="31" t="s">
        <v>240</v>
      </c>
      <c r="C7" s="31" t="s">
        <v>312</v>
      </c>
      <c r="D7" s="31" t="s">
        <v>278</v>
      </c>
      <c r="E7" s="33">
        <v>24746.0</v>
      </c>
      <c r="F7" s="31" t="s">
        <v>243</v>
      </c>
      <c r="G7" s="32"/>
      <c r="H7" s="32"/>
      <c r="I7" s="32"/>
      <c r="J7" s="32"/>
      <c r="K7" s="32"/>
      <c r="L7" s="32"/>
      <c r="M7" s="32"/>
      <c r="N7" s="32"/>
      <c r="O7" s="31" t="s">
        <v>246</v>
      </c>
      <c r="P7" s="34">
        <v>46327.0</v>
      </c>
      <c r="Q7" s="31" t="s">
        <v>244</v>
      </c>
      <c r="R7" s="31" t="s">
        <v>247</v>
      </c>
      <c r="S7" s="38">
        <f t="shared" si="1"/>
        <v>3</v>
      </c>
      <c r="T7" s="41" t="str">
        <f t="shared" si="2"/>
        <v>B - worth it</v>
      </c>
      <c r="U7" s="32"/>
      <c r="V7" s="31" t="s">
        <v>302</v>
      </c>
      <c r="W7" s="31" t="s">
        <v>314</v>
      </c>
      <c r="X7" s="31" t="s">
        <v>315</v>
      </c>
      <c r="Y7" s="31" t="s">
        <v>259</v>
      </c>
      <c r="Z7" s="32"/>
      <c r="AA7" s="42" t="s">
        <v>316</v>
      </c>
      <c r="AB7" s="34">
        <v>46281.0</v>
      </c>
      <c r="AC7" s="32"/>
      <c r="AD7" s="31" t="s">
        <v>267</v>
      </c>
      <c r="AE7" s="32"/>
      <c r="AF7" s="32"/>
      <c r="AG7" s="32"/>
      <c r="AH7" s="41" t="str">
        <f t="shared" si="3"/>
        <v/>
      </c>
      <c r="AI7" s="32"/>
      <c r="AJ7" s="32"/>
      <c r="AK7" s="32"/>
      <c r="AL7" s="32"/>
      <c r="AM7" s="41" t="str">
        <f t="shared" si="4"/>
        <v/>
      </c>
      <c r="AN7" s="32"/>
      <c r="AO7" s="32"/>
      <c r="AP7" s="32"/>
      <c r="AQ7" s="32"/>
      <c r="AR7" s="31" t="s">
        <v>274</v>
      </c>
      <c r="AS7" s="32"/>
      <c r="AT7" s="31" t="s">
        <v>318</v>
      </c>
    </row>
    <row r="8">
      <c r="A8" s="31" t="s">
        <v>319</v>
      </c>
      <c r="B8" s="31" t="s">
        <v>320</v>
      </c>
      <c r="C8" s="31" t="s">
        <v>321</v>
      </c>
      <c r="D8" s="31" t="s">
        <v>278</v>
      </c>
      <c r="E8" s="33">
        <v>42000.0</v>
      </c>
      <c r="F8" s="31" t="s">
        <v>243</v>
      </c>
      <c r="G8" s="32"/>
      <c r="H8" s="32"/>
      <c r="I8" s="32"/>
      <c r="J8" s="32"/>
      <c r="K8" s="32"/>
      <c r="L8" s="32"/>
      <c r="M8" s="32"/>
      <c r="N8" s="32"/>
      <c r="O8" s="31" t="s">
        <v>246</v>
      </c>
      <c r="P8" s="34">
        <v>46327.0</v>
      </c>
      <c r="Q8" s="31" t="s">
        <v>324</v>
      </c>
      <c r="R8" s="31" t="s">
        <v>247</v>
      </c>
      <c r="S8" s="38">
        <f t="shared" si="1"/>
        <v>4</v>
      </c>
      <c r="T8" s="41" t="str">
        <f t="shared" si="2"/>
        <v>B - worth it</v>
      </c>
      <c r="U8" s="32"/>
      <c r="V8" s="31" t="s">
        <v>326</v>
      </c>
      <c r="W8" s="31" t="s">
        <v>327</v>
      </c>
      <c r="X8" s="32"/>
      <c r="Y8" s="31" t="s">
        <v>328</v>
      </c>
      <c r="Z8" s="32"/>
      <c r="AA8" s="42" t="s">
        <v>329</v>
      </c>
      <c r="AB8" s="34">
        <v>46281.0</v>
      </c>
      <c r="AC8" s="32"/>
      <c r="AD8" s="31" t="s">
        <v>267</v>
      </c>
      <c r="AE8" s="32"/>
      <c r="AF8" s="32"/>
      <c r="AG8" s="32"/>
      <c r="AH8" s="41" t="str">
        <f t="shared" si="3"/>
        <v/>
      </c>
      <c r="AI8" s="32"/>
      <c r="AJ8" s="32"/>
      <c r="AK8" s="32"/>
      <c r="AL8" s="32"/>
      <c r="AM8" s="41" t="str">
        <f t="shared" si="4"/>
        <v/>
      </c>
      <c r="AN8" s="32"/>
      <c r="AO8" s="32"/>
      <c r="AP8" s="32"/>
      <c r="AQ8" s="32"/>
      <c r="AR8" s="31" t="s">
        <v>274</v>
      </c>
      <c r="AS8" s="32"/>
      <c r="AT8" s="31" t="s">
        <v>332</v>
      </c>
    </row>
    <row r="9">
      <c r="A9" s="31" t="s">
        <v>333</v>
      </c>
      <c r="B9" s="31" t="s">
        <v>320</v>
      </c>
      <c r="C9" s="31" t="s">
        <v>277</v>
      </c>
      <c r="D9" s="31" t="s">
        <v>278</v>
      </c>
      <c r="E9" s="32"/>
      <c r="F9" s="31" t="s">
        <v>243</v>
      </c>
      <c r="G9" s="32"/>
      <c r="H9" s="32"/>
      <c r="I9" s="32"/>
      <c r="J9" s="32"/>
      <c r="K9" s="32"/>
      <c r="L9" s="32"/>
      <c r="M9" s="32"/>
      <c r="N9" s="32"/>
      <c r="O9" s="31" t="s">
        <v>246</v>
      </c>
      <c r="P9" s="34">
        <v>46327.0</v>
      </c>
      <c r="Q9" s="31" t="s">
        <v>324</v>
      </c>
      <c r="R9" s="31" t="s">
        <v>247</v>
      </c>
      <c r="S9" s="38">
        <f t="shared" si="1"/>
        <v>4</v>
      </c>
      <c r="T9" s="41" t="str">
        <f t="shared" si="2"/>
        <v>B - worth it</v>
      </c>
      <c r="U9" s="32"/>
      <c r="V9" s="31" t="s">
        <v>336</v>
      </c>
      <c r="W9" s="31" t="s">
        <v>337</v>
      </c>
      <c r="X9" s="32"/>
      <c r="Y9" s="31" t="s">
        <v>328</v>
      </c>
      <c r="Z9" s="32"/>
      <c r="AA9" s="42" t="s">
        <v>338</v>
      </c>
      <c r="AB9" s="34">
        <v>46281.0</v>
      </c>
      <c r="AC9" s="32"/>
      <c r="AD9" s="31" t="s">
        <v>267</v>
      </c>
      <c r="AE9" s="32"/>
      <c r="AF9" s="32"/>
      <c r="AG9" s="32"/>
      <c r="AH9" s="41" t="str">
        <f t="shared" si="3"/>
        <v/>
      </c>
      <c r="AI9" s="32"/>
      <c r="AJ9" s="32"/>
      <c r="AK9" s="32"/>
      <c r="AL9" s="32"/>
      <c r="AM9" s="41" t="str">
        <f t="shared" si="4"/>
        <v/>
      </c>
      <c r="AN9" s="32"/>
      <c r="AO9" s="32"/>
      <c r="AP9" s="32"/>
      <c r="AQ9" s="32"/>
      <c r="AR9" s="31" t="s">
        <v>274</v>
      </c>
      <c r="AS9" s="32"/>
      <c r="AT9" s="31" t="s">
        <v>339</v>
      </c>
    </row>
    <row r="10">
      <c r="A10" s="31" t="s">
        <v>340</v>
      </c>
      <c r="B10" s="31" t="s">
        <v>320</v>
      </c>
      <c r="C10" s="31" t="s">
        <v>277</v>
      </c>
      <c r="D10" s="31" t="s">
        <v>278</v>
      </c>
      <c r="E10" s="32"/>
      <c r="F10" s="31" t="s">
        <v>243</v>
      </c>
      <c r="G10" s="32"/>
      <c r="H10" s="32"/>
      <c r="I10" s="32"/>
      <c r="J10" s="32"/>
      <c r="K10" s="32"/>
      <c r="L10" s="32"/>
      <c r="M10" s="32"/>
      <c r="N10" s="32"/>
      <c r="O10" s="31" t="s">
        <v>246</v>
      </c>
      <c r="P10" s="34">
        <v>46327.0</v>
      </c>
      <c r="Q10" s="31" t="s">
        <v>324</v>
      </c>
      <c r="R10" s="31" t="s">
        <v>341</v>
      </c>
      <c r="S10" s="38">
        <f t="shared" si="1"/>
        <v>4</v>
      </c>
      <c r="T10" s="41" t="str">
        <f t="shared" si="2"/>
        <v>B - worth it</v>
      </c>
      <c r="U10" s="32"/>
      <c r="V10" s="31" t="s">
        <v>342</v>
      </c>
      <c r="W10" s="31" t="s">
        <v>343</v>
      </c>
      <c r="X10" s="32"/>
      <c r="Y10" s="31" t="s">
        <v>328</v>
      </c>
      <c r="Z10" s="32"/>
      <c r="AA10" s="42" t="s">
        <v>344</v>
      </c>
      <c r="AB10" s="34">
        <v>46281.0</v>
      </c>
      <c r="AC10" s="32"/>
      <c r="AD10" s="31" t="s">
        <v>267</v>
      </c>
      <c r="AE10" s="32"/>
      <c r="AF10" s="32"/>
      <c r="AG10" s="32"/>
      <c r="AH10" s="41" t="str">
        <f t="shared" si="3"/>
        <v/>
      </c>
      <c r="AI10" s="32"/>
      <c r="AJ10" s="32"/>
      <c r="AK10" s="32"/>
      <c r="AL10" s="32"/>
      <c r="AM10" s="41" t="str">
        <f t="shared" si="4"/>
        <v/>
      </c>
      <c r="AN10" s="32"/>
      <c r="AO10" s="32"/>
      <c r="AP10" s="32"/>
      <c r="AQ10" s="32"/>
      <c r="AR10" s="31" t="s">
        <v>274</v>
      </c>
      <c r="AS10" s="32"/>
      <c r="AT10" s="31" t="s">
        <v>345</v>
      </c>
    </row>
    <row r="11">
      <c r="A11" s="31" t="s">
        <v>346</v>
      </c>
      <c r="B11" s="31" t="s">
        <v>347</v>
      </c>
      <c r="C11" s="31" t="s">
        <v>321</v>
      </c>
      <c r="D11" s="31" t="s">
        <v>242</v>
      </c>
      <c r="E11" s="32"/>
      <c r="F11" s="31" t="s">
        <v>243</v>
      </c>
      <c r="G11" s="32"/>
      <c r="H11" s="32"/>
      <c r="I11" s="32"/>
      <c r="J11" s="32"/>
      <c r="K11" s="32"/>
      <c r="L11" s="32"/>
      <c r="M11" s="32"/>
      <c r="N11" s="32"/>
      <c r="O11" s="31" t="s">
        <v>246</v>
      </c>
      <c r="P11" s="34">
        <v>46327.0</v>
      </c>
      <c r="Q11" s="31" t="s">
        <v>244</v>
      </c>
      <c r="R11" s="31" t="s">
        <v>341</v>
      </c>
      <c r="S11" s="38">
        <f t="shared" si="1"/>
        <v>3</v>
      </c>
      <c r="T11" s="41" t="str">
        <f t="shared" si="2"/>
        <v>B - worth it</v>
      </c>
      <c r="U11" s="32"/>
      <c r="V11" s="31" t="s">
        <v>348</v>
      </c>
      <c r="W11" s="31" t="s">
        <v>349</v>
      </c>
      <c r="X11" s="32"/>
      <c r="Y11" s="31" t="s">
        <v>259</v>
      </c>
      <c r="Z11" s="32"/>
      <c r="AA11" s="42" t="s">
        <v>350</v>
      </c>
      <c r="AB11" s="34">
        <v>46281.0</v>
      </c>
      <c r="AC11" s="32"/>
      <c r="AD11" s="31" t="s">
        <v>267</v>
      </c>
      <c r="AE11" s="32"/>
      <c r="AF11" s="32"/>
      <c r="AG11" s="32"/>
      <c r="AH11" s="41" t="str">
        <f t="shared" si="3"/>
        <v/>
      </c>
      <c r="AI11" s="32"/>
      <c r="AJ11" s="32"/>
      <c r="AK11" s="32"/>
      <c r="AL11" s="32"/>
      <c r="AM11" s="41" t="str">
        <f t="shared" si="4"/>
        <v/>
      </c>
      <c r="AN11" s="32"/>
      <c r="AO11" s="32"/>
      <c r="AP11" s="32"/>
      <c r="AQ11" s="32"/>
      <c r="AR11" s="31" t="s">
        <v>274</v>
      </c>
      <c r="AS11" s="32"/>
      <c r="AT11" s="31" t="s">
        <v>351</v>
      </c>
    </row>
    <row r="12">
      <c r="A12" s="31" t="s">
        <v>352</v>
      </c>
      <c r="B12" s="31" t="s">
        <v>347</v>
      </c>
      <c r="C12" s="31" t="s">
        <v>297</v>
      </c>
      <c r="D12" s="31" t="s">
        <v>278</v>
      </c>
      <c r="E12" s="32"/>
      <c r="F12" s="31" t="s">
        <v>243</v>
      </c>
      <c r="G12" s="32"/>
      <c r="H12" s="32"/>
      <c r="I12" s="32"/>
      <c r="J12" s="32"/>
      <c r="K12" s="32"/>
      <c r="L12" s="32"/>
      <c r="M12" s="32"/>
      <c r="N12" s="32"/>
      <c r="O12" s="31" t="s">
        <v>246</v>
      </c>
      <c r="P12" s="34">
        <v>46327.0</v>
      </c>
      <c r="Q12" s="31" t="s">
        <v>244</v>
      </c>
      <c r="R12" s="31" t="s">
        <v>341</v>
      </c>
      <c r="S12" s="38">
        <f t="shared" si="1"/>
        <v>3</v>
      </c>
      <c r="T12" s="41" t="str">
        <f t="shared" si="2"/>
        <v>B - worth it</v>
      </c>
      <c r="U12" s="32"/>
      <c r="V12" s="31" t="s">
        <v>348</v>
      </c>
      <c r="W12" s="31" t="s">
        <v>353</v>
      </c>
      <c r="X12" s="31" t="s">
        <v>354</v>
      </c>
      <c r="Y12" s="31" t="s">
        <v>259</v>
      </c>
      <c r="Z12" s="32"/>
      <c r="AA12" s="42" t="s">
        <v>355</v>
      </c>
      <c r="AB12" s="34">
        <v>46281.0</v>
      </c>
      <c r="AC12" s="32"/>
      <c r="AD12" s="31" t="s">
        <v>267</v>
      </c>
      <c r="AE12" s="32"/>
      <c r="AF12" s="32"/>
      <c r="AG12" s="32"/>
      <c r="AH12" s="41" t="str">
        <f t="shared" si="3"/>
        <v/>
      </c>
      <c r="AI12" s="32"/>
      <c r="AJ12" s="32"/>
      <c r="AK12" s="32"/>
      <c r="AL12" s="32"/>
      <c r="AM12" s="41" t="str">
        <f t="shared" si="4"/>
        <v/>
      </c>
      <c r="AN12" s="32"/>
      <c r="AO12" s="32"/>
      <c r="AP12" s="32"/>
      <c r="AQ12" s="32"/>
      <c r="AR12" s="31" t="s">
        <v>274</v>
      </c>
      <c r="AS12" s="32"/>
      <c r="AT12" s="31" t="s">
        <v>356</v>
      </c>
    </row>
    <row r="13">
      <c r="A13" s="31" t="s">
        <v>357</v>
      </c>
      <c r="B13" s="31" t="s">
        <v>358</v>
      </c>
      <c r="C13" s="31" t="s">
        <v>277</v>
      </c>
      <c r="D13" s="31" t="s">
        <v>278</v>
      </c>
      <c r="E13" s="32"/>
      <c r="F13" s="31" t="s">
        <v>243</v>
      </c>
      <c r="G13" s="32"/>
      <c r="H13" s="32"/>
      <c r="I13" s="32"/>
      <c r="J13" s="32"/>
      <c r="K13" s="32"/>
      <c r="L13" s="32"/>
      <c r="M13" s="32"/>
      <c r="N13" s="32"/>
      <c r="O13" s="31" t="s">
        <v>281</v>
      </c>
      <c r="P13" s="34">
        <v>46327.0</v>
      </c>
      <c r="Q13" s="31" t="s">
        <v>324</v>
      </c>
      <c r="R13" s="31" t="s">
        <v>247</v>
      </c>
      <c r="S13" s="38">
        <f t="shared" si="1"/>
        <v>5</v>
      </c>
      <c r="T13" s="41" t="str">
        <f t="shared" si="2"/>
        <v>A - go now</v>
      </c>
      <c r="U13" s="31" t="s">
        <v>359</v>
      </c>
      <c r="V13" s="31" t="s">
        <v>360</v>
      </c>
      <c r="W13" s="31" t="s">
        <v>361</v>
      </c>
      <c r="X13" s="31" t="s">
        <v>362</v>
      </c>
      <c r="Y13" s="31" t="s">
        <v>259</v>
      </c>
      <c r="Z13" s="32"/>
      <c r="AA13" s="42" t="s">
        <v>363</v>
      </c>
      <c r="AB13" s="34">
        <v>46281.0</v>
      </c>
      <c r="AC13" s="32"/>
      <c r="AD13" s="31" t="s">
        <v>267</v>
      </c>
      <c r="AE13" s="32"/>
      <c r="AF13" s="32"/>
      <c r="AG13" s="32"/>
      <c r="AH13" s="41" t="str">
        <f t="shared" si="3"/>
        <v/>
      </c>
      <c r="AI13" s="32"/>
      <c r="AJ13" s="32"/>
      <c r="AK13" s="32"/>
      <c r="AL13" s="32"/>
      <c r="AM13" s="41" t="str">
        <f t="shared" si="4"/>
        <v/>
      </c>
      <c r="AN13" s="32"/>
      <c r="AO13" s="32"/>
      <c r="AP13" s="32"/>
      <c r="AQ13" s="32"/>
      <c r="AR13" s="31" t="s">
        <v>274</v>
      </c>
      <c r="AS13" s="32"/>
      <c r="AT13" s="31" t="s">
        <v>364</v>
      </c>
    </row>
    <row r="14">
      <c r="A14" s="31" t="s">
        <v>365</v>
      </c>
      <c r="B14" s="31" t="s">
        <v>358</v>
      </c>
      <c r="C14" s="31" t="s">
        <v>241</v>
      </c>
      <c r="D14" s="31" t="s">
        <v>242</v>
      </c>
      <c r="E14" s="32"/>
      <c r="F14" s="31" t="s">
        <v>243</v>
      </c>
      <c r="G14" s="32"/>
      <c r="H14" s="32"/>
      <c r="I14" s="32"/>
      <c r="J14" s="32"/>
      <c r="K14" s="32"/>
      <c r="L14" s="32"/>
      <c r="M14" s="32"/>
      <c r="N14" s="32"/>
      <c r="O14" s="31" t="s">
        <v>246</v>
      </c>
      <c r="P14" s="34">
        <v>46327.0</v>
      </c>
      <c r="Q14" s="31" t="s">
        <v>324</v>
      </c>
      <c r="R14" s="31" t="s">
        <v>247</v>
      </c>
      <c r="S14" s="38">
        <f t="shared" si="1"/>
        <v>5</v>
      </c>
      <c r="T14" s="41" t="str">
        <f t="shared" si="2"/>
        <v>A - go now</v>
      </c>
      <c r="U14" s="31" t="s">
        <v>366</v>
      </c>
      <c r="V14" s="31" t="s">
        <v>367</v>
      </c>
      <c r="W14" s="31" t="s">
        <v>368</v>
      </c>
      <c r="X14" s="32"/>
      <c r="Y14" s="31" t="s">
        <v>259</v>
      </c>
      <c r="Z14" s="32"/>
      <c r="AA14" s="42" t="s">
        <v>369</v>
      </c>
      <c r="AB14" s="34">
        <v>46281.0</v>
      </c>
      <c r="AC14" s="32"/>
      <c r="AD14" s="31" t="s">
        <v>267</v>
      </c>
      <c r="AE14" s="32"/>
      <c r="AF14" s="32"/>
      <c r="AG14" s="32"/>
      <c r="AH14" s="41" t="str">
        <f t="shared" si="3"/>
        <v/>
      </c>
      <c r="AI14" s="32"/>
      <c r="AJ14" s="32"/>
      <c r="AK14" s="32"/>
      <c r="AL14" s="32"/>
      <c r="AM14" s="41" t="str">
        <f t="shared" si="4"/>
        <v/>
      </c>
      <c r="AN14" s="32"/>
      <c r="AO14" s="32"/>
      <c r="AP14" s="32"/>
      <c r="AQ14" s="32"/>
      <c r="AR14" s="31" t="s">
        <v>274</v>
      </c>
      <c r="AS14" s="32"/>
      <c r="AT14" s="31" t="s">
        <v>370</v>
      </c>
    </row>
    <row r="15">
      <c r="A15" s="31" t="s">
        <v>371</v>
      </c>
      <c r="B15" s="31" t="s">
        <v>358</v>
      </c>
      <c r="C15" s="31" t="s">
        <v>241</v>
      </c>
      <c r="D15" s="31" t="s">
        <v>242</v>
      </c>
      <c r="E15" s="32"/>
      <c r="F15" s="31" t="s">
        <v>243</v>
      </c>
      <c r="G15" s="32"/>
      <c r="H15" s="32"/>
      <c r="I15" s="32"/>
      <c r="J15" s="32"/>
      <c r="K15" s="32"/>
      <c r="L15" s="32"/>
      <c r="M15" s="32"/>
      <c r="N15" s="32"/>
      <c r="O15" s="31" t="s">
        <v>246</v>
      </c>
      <c r="P15" s="34">
        <v>46327.0</v>
      </c>
      <c r="Q15" s="31" t="s">
        <v>324</v>
      </c>
      <c r="R15" s="31" t="s">
        <v>247</v>
      </c>
      <c r="S15" s="38">
        <f t="shared" si="1"/>
        <v>5</v>
      </c>
      <c r="T15" s="41" t="str">
        <f t="shared" si="2"/>
        <v>A - go now</v>
      </c>
      <c r="U15" s="31" t="s">
        <v>372</v>
      </c>
      <c r="V15" s="31" t="s">
        <v>367</v>
      </c>
      <c r="W15" s="31" t="s">
        <v>373</v>
      </c>
      <c r="X15" s="31" t="s">
        <v>374</v>
      </c>
      <c r="Y15" s="31" t="s">
        <v>259</v>
      </c>
      <c r="Z15" s="32"/>
      <c r="AA15" s="42" t="s">
        <v>375</v>
      </c>
      <c r="AB15" s="34">
        <v>46281.0</v>
      </c>
      <c r="AC15" s="32"/>
      <c r="AD15" s="31" t="s">
        <v>267</v>
      </c>
      <c r="AE15" s="32"/>
      <c r="AF15" s="32"/>
      <c r="AG15" s="32"/>
      <c r="AH15" s="41" t="str">
        <f t="shared" si="3"/>
        <v/>
      </c>
      <c r="AI15" s="32"/>
      <c r="AJ15" s="32"/>
      <c r="AK15" s="32"/>
      <c r="AL15" s="32"/>
      <c r="AM15" s="41" t="str">
        <f t="shared" si="4"/>
        <v/>
      </c>
      <c r="AN15" s="32"/>
      <c r="AO15" s="32"/>
      <c r="AP15" s="32"/>
      <c r="AQ15" s="32"/>
      <c r="AR15" s="31" t="s">
        <v>274</v>
      </c>
      <c r="AS15" s="32"/>
      <c r="AT15" s="31" t="s">
        <v>376</v>
      </c>
    </row>
    <row r="16">
      <c r="A16" s="31" t="s">
        <v>377</v>
      </c>
      <c r="B16" s="31" t="s">
        <v>358</v>
      </c>
      <c r="C16" s="31" t="s">
        <v>378</v>
      </c>
      <c r="D16" s="31" t="s">
        <v>242</v>
      </c>
      <c r="E16" s="32"/>
      <c r="F16" s="31" t="s">
        <v>243</v>
      </c>
      <c r="G16" s="32"/>
      <c r="H16" s="32"/>
      <c r="I16" s="32"/>
      <c r="J16" s="32"/>
      <c r="K16" s="32"/>
      <c r="L16" s="32"/>
      <c r="M16" s="32"/>
      <c r="N16" s="32"/>
      <c r="O16" s="31" t="s">
        <v>246</v>
      </c>
      <c r="P16" s="34">
        <v>46327.0</v>
      </c>
      <c r="Q16" s="31" t="s">
        <v>324</v>
      </c>
      <c r="R16" s="31" t="s">
        <v>247</v>
      </c>
      <c r="S16" s="38">
        <f t="shared" si="1"/>
        <v>4</v>
      </c>
      <c r="T16" s="41" t="str">
        <f t="shared" si="2"/>
        <v>B - worth it</v>
      </c>
      <c r="U16" s="32"/>
      <c r="V16" s="31" t="s">
        <v>379</v>
      </c>
      <c r="W16" s="31" t="s">
        <v>380</v>
      </c>
      <c r="X16" s="32"/>
      <c r="Y16" s="31" t="s">
        <v>259</v>
      </c>
      <c r="Z16" s="32"/>
      <c r="AA16" s="42" t="s">
        <v>381</v>
      </c>
      <c r="AB16" s="34">
        <v>46281.0</v>
      </c>
      <c r="AC16" s="32"/>
      <c r="AD16" s="31" t="s">
        <v>267</v>
      </c>
      <c r="AE16" s="32"/>
      <c r="AF16" s="32"/>
      <c r="AG16" s="32"/>
      <c r="AH16" s="41" t="str">
        <f t="shared" si="3"/>
        <v/>
      </c>
      <c r="AI16" s="32"/>
      <c r="AJ16" s="32"/>
      <c r="AK16" s="32"/>
      <c r="AL16" s="32"/>
      <c r="AM16" s="41" t="str">
        <f t="shared" si="4"/>
        <v/>
      </c>
      <c r="AN16" s="32"/>
      <c r="AO16" s="32"/>
      <c r="AP16" s="32"/>
      <c r="AQ16" s="32"/>
      <c r="AR16" s="31" t="s">
        <v>274</v>
      </c>
      <c r="AS16" s="32"/>
      <c r="AT16" s="31" t="s">
        <v>382</v>
      </c>
    </row>
    <row r="17">
      <c r="A17" s="31" t="s">
        <v>383</v>
      </c>
      <c r="B17" s="31" t="s">
        <v>384</v>
      </c>
      <c r="C17" s="31" t="s">
        <v>277</v>
      </c>
      <c r="D17" s="31" t="s">
        <v>242</v>
      </c>
      <c r="E17" s="32"/>
      <c r="F17" s="31" t="s">
        <v>243</v>
      </c>
      <c r="G17" s="31" t="s">
        <v>385</v>
      </c>
      <c r="H17" s="32"/>
      <c r="I17" s="32"/>
      <c r="J17" s="32"/>
      <c r="K17" s="32"/>
      <c r="L17" s="32"/>
      <c r="M17" s="32"/>
      <c r="N17" s="32"/>
      <c r="O17" s="31" t="s">
        <v>246</v>
      </c>
      <c r="P17" s="34">
        <v>46327.0</v>
      </c>
      <c r="Q17" s="31" t="s">
        <v>324</v>
      </c>
      <c r="R17" s="31" t="s">
        <v>247</v>
      </c>
      <c r="S17" s="38">
        <f t="shared" si="1"/>
        <v>5</v>
      </c>
      <c r="T17" s="41" t="str">
        <f t="shared" si="2"/>
        <v>A - go now</v>
      </c>
      <c r="U17" s="31" t="s">
        <v>386</v>
      </c>
      <c r="V17" s="31" t="s">
        <v>387</v>
      </c>
      <c r="W17" s="31" t="s">
        <v>388</v>
      </c>
      <c r="X17" s="31" t="s">
        <v>389</v>
      </c>
      <c r="Y17" s="31" t="s">
        <v>192</v>
      </c>
      <c r="Z17" s="32"/>
      <c r="AA17" s="42" t="s">
        <v>390</v>
      </c>
      <c r="AB17" s="34">
        <v>46281.0</v>
      </c>
      <c r="AC17" s="32"/>
      <c r="AD17" s="32"/>
      <c r="AE17" s="32"/>
      <c r="AF17" s="32"/>
      <c r="AG17" s="32"/>
      <c r="AH17" s="41" t="str">
        <f t="shared" si="3"/>
        <v/>
      </c>
      <c r="AI17" s="32"/>
      <c r="AJ17" s="32"/>
      <c r="AK17" s="32"/>
      <c r="AL17" s="32"/>
      <c r="AM17" s="41" t="str">
        <f t="shared" si="4"/>
        <v/>
      </c>
      <c r="AN17" s="32"/>
      <c r="AO17" s="32"/>
      <c r="AP17" s="32"/>
      <c r="AQ17" s="32"/>
      <c r="AR17" s="32"/>
      <c r="AS17" s="32"/>
      <c r="AT17" s="31" t="s">
        <v>391</v>
      </c>
    </row>
    <row r="18">
      <c r="A18" s="31" t="s">
        <v>392</v>
      </c>
      <c r="B18" s="31" t="s">
        <v>384</v>
      </c>
      <c r="C18" s="31" t="s">
        <v>277</v>
      </c>
      <c r="D18" s="31" t="s">
        <v>242</v>
      </c>
      <c r="E18" s="32"/>
      <c r="F18" s="31" t="s">
        <v>243</v>
      </c>
      <c r="G18" s="31" t="s">
        <v>393</v>
      </c>
      <c r="H18" s="32"/>
      <c r="I18" s="32"/>
      <c r="J18" s="32"/>
      <c r="K18" s="32"/>
      <c r="L18" s="32"/>
      <c r="M18" s="32"/>
      <c r="N18" s="32"/>
      <c r="O18" s="31" t="s">
        <v>246</v>
      </c>
      <c r="P18" s="34">
        <v>46327.0</v>
      </c>
      <c r="Q18" s="31" t="s">
        <v>324</v>
      </c>
      <c r="R18" s="31" t="s">
        <v>247</v>
      </c>
      <c r="S18" s="38">
        <f t="shared" si="1"/>
        <v>4</v>
      </c>
      <c r="T18" s="41" t="str">
        <f t="shared" si="2"/>
        <v>B - worth it</v>
      </c>
      <c r="U18" s="32"/>
      <c r="V18" s="32"/>
      <c r="W18" s="31" t="s">
        <v>394</v>
      </c>
      <c r="X18" s="31" t="s">
        <v>395</v>
      </c>
      <c r="Y18" s="31" t="s">
        <v>192</v>
      </c>
      <c r="Z18" s="32"/>
      <c r="AA18" s="42" t="s">
        <v>396</v>
      </c>
      <c r="AB18" s="34">
        <v>46281.0</v>
      </c>
      <c r="AC18" s="32"/>
      <c r="AD18" s="32"/>
      <c r="AE18" s="32"/>
      <c r="AF18" s="32"/>
      <c r="AG18" s="32"/>
      <c r="AH18" s="41" t="str">
        <f t="shared" si="3"/>
        <v/>
      </c>
      <c r="AI18" s="32"/>
      <c r="AJ18" s="32"/>
      <c r="AK18" s="32"/>
      <c r="AL18" s="32"/>
      <c r="AM18" s="41" t="str">
        <f t="shared" si="4"/>
        <v/>
      </c>
      <c r="AN18" s="32"/>
      <c r="AO18" s="32"/>
      <c r="AP18" s="32"/>
      <c r="AQ18" s="32"/>
      <c r="AR18" s="32"/>
      <c r="AS18" s="32"/>
      <c r="AT18" s="31" t="s">
        <v>397</v>
      </c>
    </row>
    <row r="19">
      <c r="A19" s="31" t="s">
        <v>398</v>
      </c>
      <c r="B19" s="31" t="s">
        <v>384</v>
      </c>
      <c r="C19" s="31" t="s">
        <v>277</v>
      </c>
      <c r="D19" s="31" t="s">
        <v>242</v>
      </c>
      <c r="E19" s="31">
        <v>19508.0</v>
      </c>
      <c r="F19" s="31" t="s">
        <v>243</v>
      </c>
      <c r="G19" s="31" t="s">
        <v>399</v>
      </c>
      <c r="H19" s="32"/>
      <c r="I19" s="32"/>
      <c r="J19" s="32"/>
      <c r="K19" s="32"/>
      <c r="L19" s="32"/>
      <c r="M19" s="32"/>
      <c r="N19" s="32"/>
      <c r="O19" s="31" t="s">
        <v>246</v>
      </c>
      <c r="P19" s="34">
        <v>46327.0</v>
      </c>
      <c r="Q19" s="31" t="s">
        <v>324</v>
      </c>
      <c r="R19" s="31" t="s">
        <v>247</v>
      </c>
      <c r="S19" s="38">
        <f t="shared" si="1"/>
        <v>4</v>
      </c>
      <c r="T19" s="41" t="str">
        <f t="shared" si="2"/>
        <v>B - worth it</v>
      </c>
      <c r="U19" s="32"/>
      <c r="V19" s="32"/>
      <c r="W19" s="31" t="s">
        <v>400</v>
      </c>
      <c r="X19" s="31" t="s">
        <v>401</v>
      </c>
      <c r="Y19" s="31" t="s">
        <v>192</v>
      </c>
      <c r="Z19" s="32"/>
      <c r="AA19" s="42" t="s">
        <v>402</v>
      </c>
      <c r="AB19" s="34">
        <v>46281.0</v>
      </c>
      <c r="AC19" s="32"/>
      <c r="AD19" s="32"/>
      <c r="AE19" s="32"/>
      <c r="AF19" s="32"/>
      <c r="AG19" s="32"/>
      <c r="AH19" s="41" t="str">
        <f t="shared" si="3"/>
        <v/>
      </c>
      <c r="AI19" s="32"/>
      <c r="AJ19" s="32"/>
      <c r="AK19" s="32"/>
      <c r="AL19" s="32"/>
      <c r="AM19" s="41" t="str">
        <f t="shared" si="4"/>
        <v/>
      </c>
      <c r="AN19" s="32"/>
      <c r="AO19" s="32"/>
      <c r="AP19" s="32"/>
      <c r="AQ19" s="32"/>
      <c r="AR19" s="32"/>
      <c r="AS19" s="32"/>
      <c r="AT19" s="31" t="s">
        <v>403</v>
      </c>
    </row>
    <row r="20">
      <c r="A20" s="31" t="s">
        <v>404</v>
      </c>
      <c r="B20" s="31" t="s">
        <v>384</v>
      </c>
      <c r="C20" s="31" t="s">
        <v>405</v>
      </c>
      <c r="D20" s="31" t="s">
        <v>242</v>
      </c>
      <c r="E20" s="31">
        <v>218338.0</v>
      </c>
      <c r="F20" s="31" t="s">
        <v>243</v>
      </c>
      <c r="G20" s="31" t="s">
        <v>406</v>
      </c>
      <c r="H20" s="32"/>
      <c r="I20" s="32"/>
      <c r="J20" s="32"/>
      <c r="K20" s="32"/>
      <c r="L20" s="32"/>
      <c r="M20" s="32"/>
      <c r="N20" s="32"/>
      <c r="O20" s="31" t="s">
        <v>246</v>
      </c>
      <c r="P20" s="34">
        <v>46327.0</v>
      </c>
      <c r="Q20" s="31" t="s">
        <v>324</v>
      </c>
      <c r="R20" s="31" t="s">
        <v>247</v>
      </c>
      <c r="S20" s="38">
        <f t="shared" si="1"/>
        <v>5</v>
      </c>
      <c r="T20" s="41" t="str">
        <f t="shared" si="2"/>
        <v>A - go now</v>
      </c>
      <c r="U20" s="31" t="s">
        <v>407</v>
      </c>
      <c r="V20" s="31" t="s">
        <v>408</v>
      </c>
      <c r="W20" s="31" t="s">
        <v>409</v>
      </c>
      <c r="X20" s="31" t="s">
        <v>410</v>
      </c>
      <c r="Y20" s="31" t="s">
        <v>192</v>
      </c>
      <c r="Z20" s="32"/>
      <c r="AA20" s="42" t="s">
        <v>411</v>
      </c>
      <c r="AB20" s="34">
        <v>46281.0</v>
      </c>
      <c r="AC20" s="32"/>
      <c r="AD20" s="32"/>
      <c r="AE20" s="32"/>
      <c r="AF20" s="32"/>
      <c r="AG20" s="32"/>
      <c r="AH20" s="41" t="str">
        <f t="shared" si="3"/>
        <v/>
      </c>
      <c r="AI20" s="32"/>
      <c r="AJ20" s="32"/>
      <c r="AK20" s="32"/>
      <c r="AL20" s="32"/>
      <c r="AM20" s="41" t="str">
        <f t="shared" si="4"/>
        <v/>
      </c>
      <c r="AN20" s="32"/>
      <c r="AO20" s="32"/>
      <c r="AP20" s="32"/>
      <c r="AQ20" s="32"/>
      <c r="AR20" s="32"/>
      <c r="AS20" s="32"/>
      <c r="AT20" s="31" t="s">
        <v>412</v>
      </c>
    </row>
    <row r="21" ht="15.75" customHeight="1">
      <c r="A21" s="31" t="s">
        <v>413</v>
      </c>
      <c r="B21" s="31" t="s">
        <v>384</v>
      </c>
      <c r="C21" s="31" t="s">
        <v>277</v>
      </c>
      <c r="D21" s="31" t="s">
        <v>242</v>
      </c>
      <c r="E21" s="31">
        <v>85454.0</v>
      </c>
      <c r="F21" s="31" t="s">
        <v>243</v>
      </c>
      <c r="G21" s="31" t="s">
        <v>414</v>
      </c>
      <c r="H21" s="32"/>
      <c r="I21" s="32"/>
      <c r="J21" s="32"/>
      <c r="K21" s="32"/>
      <c r="L21" s="32"/>
      <c r="M21" s="32"/>
      <c r="N21" s="32"/>
      <c r="O21" s="31" t="s">
        <v>246</v>
      </c>
      <c r="P21" s="34">
        <v>46327.0</v>
      </c>
      <c r="Q21" s="31" t="s">
        <v>324</v>
      </c>
      <c r="R21" s="31" t="s">
        <v>247</v>
      </c>
      <c r="S21" s="38">
        <f t="shared" si="1"/>
        <v>4</v>
      </c>
      <c r="T21" s="41" t="str">
        <f t="shared" si="2"/>
        <v>B - worth it</v>
      </c>
      <c r="U21" s="32"/>
      <c r="V21" s="32"/>
      <c r="W21" s="32"/>
      <c r="X21" s="32"/>
      <c r="Y21" s="31" t="s">
        <v>328</v>
      </c>
      <c r="Z21" s="32"/>
      <c r="AA21" s="42" t="s">
        <v>415</v>
      </c>
      <c r="AB21" s="34">
        <v>46281.0</v>
      </c>
      <c r="AC21" s="32"/>
      <c r="AD21" s="32"/>
      <c r="AE21" s="32"/>
      <c r="AF21" s="32"/>
      <c r="AG21" s="32"/>
      <c r="AH21" s="41" t="str">
        <f t="shared" si="3"/>
        <v/>
      </c>
      <c r="AI21" s="32"/>
      <c r="AJ21" s="32"/>
      <c r="AK21" s="32"/>
      <c r="AL21" s="32"/>
      <c r="AM21" s="41" t="str">
        <f t="shared" si="4"/>
        <v/>
      </c>
      <c r="AN21" s="32"/>
      <c r="AO21" s="32"/>
      <c r="AP21" s="32"/>
      <c r="AQ21" s="32"/>
      <c r="AR21" s="32"/>
      <c r="AS21" s="32"/>
      <c r="AT21" s="31" t="s">
        <v>416</v>
      </c>
    </row>
    <row r="22" ht="15.75" customHeight="1">
      <c r="A22" s="31" t="s">
        <v>417</v>
      </c>
      <c r="B22" s="31" t="s">
        <v>384</v>
      </c>
      <c r="C22" s="31" t="s">
        <v>277</v>
      </c>
      <c r="D22" s="31" t="s">
        <v>242</v>
      </c>
      <c r="E22" s="31">
        <v>16807.0</v>
      </c>
      <c r="F22" s="31" t="s">
        <v>243</v>
      </c>
      <c r="G22" s="31" t="s">
        <v>418</v>
      </c>
      <c r="H22" s="32"/>
      <c r="I22" s="32"/>
      <c r="J22" s="32"/>
      <c r="K22" s="32"/>
      <c r="L22" s="32"/>
      <c r="M22" s="32"/>
      <c r="N22" s="32"/>
      <c r="O22" s="31" t="s">
        <v>246</v>
      </c>
      <c r="P22" s="34">
        <v>46327.0</v>
      </c>
      <c r="Q22" s="31" t="s">
        <v>324</v>
      </c>
      <c r="R22" s="31" t="s">
        <v>247</v>
      </c>
      <c r="S22" s="38">
        <f t="shared" si="1"/>
        <v>4</v>
      </c>
      <c r="T22" s="41" t="str">
        <f t="shared" si="2"/>
        <v>B - worth it</v>
      </c>
      <c r="U22" s="32"/>
      <c r="V22" s="32"/>
      <c r="W22" s="32"/>
      <c r="X22" s="32"/>
      <c r="Y22" s="31" t="s">
        <v>259</v>
      </c>
      <c r="Z22" s="32"/>
      <c r="AA22" s="42" t="s">
        <v>419</v>
      </c>
      <c r="AB22" s="34">
        <v>46281.0</v>
      </c>
      <c r="AC22" s="32"/>
      <c r="AD22" s="32"/>
      <c r="AE22" s="32"/>
      <c r="AF22" s="32"/>
      <c r="AG22" s="32"/>
      <c r="AH22" s="41" t="str">
        <f t="shared" si="3"/>
        <v/>
      </c>
      <c r="AI22" s="32"/>
      <c r="AJ22" s="32"/>
      <c r="AK22" s="32"/>
      <c r="AL22" s="32"/>
      <c r="AM22" s="41" t="str">
        <f t="shared" si="4"/>
        <v/>
      </c>
      <c r="AN22" s="32"/>
      <c r="AO22" s="32"/>
      <c r="AP22" s="32"/>
      <c r="AQ22" s="32"/>
      <c r="AR22" s="32"/>
      <c r="AS22" s="32"/>
      <c r="AT22" s="31" t="s">
        <v>420</v>
      </c>
    </row>
    <row r="23" ht="15.75" customHeight="1">
      <c r="A23" s="31" t="s">
        <v>421</v>
      </c>
      <c r="B23" s="31" t="s">
        <v>422</v>
      </c>
      <c r="C23" s="31" t="s">
        <v>423</v>
      </c>
      <c r="D23" s="31" t="s">
        <v>242</v>
      </c>
      <c r="E23" s="32"/>
      <c r="F23" s="31" t="s">
        <v>243</v>
      </c>
      <c r="G23" s="32"/>
      <c r="H23" s="32"/>
      <c r="I23" s="32"/>
      <c r="J23" s="32"/>
      <c r="K23" s="32"/>
      <c r="L23" s="32"/>
      <c r="M23" s="32"/>
      <c r="N23" s="32"/>
      <c r="O23" s="31" t="s">
        <v>246</v>
      </c>
      <c r="P23" s="34">
        <v>46327.0</v>
      </c>
      <c r="Q23" s="31" t="s">
        <v>324</v>
      </c>
      <c r="R23" s="31" t="s">
        <v>247</v>
      </c>
      <c r="S23" s="38">
        <f t="shared" si="1"/>
        <v>4</v>
      </c>
      <c r="T23" s="41" t="str">
        <f t="shared" si="2"/>
        <v>B - worth it</v>
      </c>
      <c r="U23" s="32"/>
      <c r="V23" s="32"/>
      <c r="W23" s="31" t="s">
        <v>424</v>
      </c>
      <c r="X23" s="31" t="s">
        <v>425</v>
      </c>
      <c r="Y23" s="31" t="s">
        <v>192</v>
      </c>
      <c r="Z23" s="32"/>
      <c r="AA23" s="42" t="s">
        <v>426</v>
      </c>
      <c r="AB23" s="34">
        <v>46281.0</v>
      </c>
      <c r="AC23" s="32"/>
      <c r="AD23" s="32"/>
      <c r="AE23" s="32"/>
      <c r="AF23" s="32"/>
      <c r="AG23" s="32"/>
      <c r="AH23" s="41" t="str">
        <f t="shared" si="3"/>
        <v/>
      </c>
      <c r="AI23" s="32"/>
      <c r="AJ23" s="32"/>
      <c r="AK23" s="32"/>
      <c r="AL23" s="32"/>
      <c r="AM23" s="41" t="str">
        <f t="shared" si="4"/>
        <v/>
      </c>
      <c r="AN23" s="32"/>
      <c r="AO23" s="32"/>
      <c r="AP23" s="32"/>
      <c r="AQ23" s="32"/>
      <c r="AR23" s="32"/>
      <c r="AS23" s="32"/>
      <c r="AT23" s="31" t="s">
        <v>427</v>
      </c>
    </row>
    <row r="24" ht="15.75" customHeight="1">
      <c r="A24" s="31" t="s">
        <v>428</v>
      </c>
      <c r="B24" s="31" t="s">
        <v>422</v>
      </c>
      <c r="C24" s="31" t="s">
        <v>321</v>
      </c>
      <c r="D24" s="31" t="s">
        <v>242</v>
      </c>
      <c r="E24" s="32"/>
      <c r="F24" s="31" t="s">
        <v>243</v>
      </c>
      <c r="G24" s="32"/>
      <c r="H24" s="32"/>
      <c r="I24" s="32"/>
      <c r="J24" s="32"/>
      <c r="K24" s="32"/>
      <c r="L24" s="32"/>
      <c r="M24" s="32"/>
      <c r="N24" s="32"/>
      <c r="O24" s="31" t="s">
        <v>246</v>
      </c>
      <c r="P24" s="34">
        <v>46327.0</v>
      </c>
      <c r="Q24" s="31" t="s">
        <v>324</v>
      </c>
      <c r="R24" s="31" t="s">
        <v>247</v>
      </c>
      <c r="S24" s="38">
        <f t="shared" si="1"/>
        <v>4</v>
      </c>
      <c r="T24" s="41" t="str">
        <f t="shared" si="2"/>
        <v>B - worth it</v>
      </c>
      <c r="U24" s="32"/>
      <c r="V24" s="32"/>
      <c r="W24" s="31" t="s">
        <v>429</v>
      </c>
      <c r="X24" s="31" t="s">
        <v>430</v>
      </c>
      <c r="Y24" s="31" t="s">
        <v>192</v>
      </c>
      <c r="Z24" s="32"/>
      <c r="AA24" s="42" t="s">
        <v>431</v>
      </c>
      <c r="AB24" s="34">
        <v>46281.0</v>
      </c>
      <c r="AC24" s="32"/>
      <c r="AD24" s="32"/>
      <c r="AE24" s="32"/>
      <c r="AF24" s="32"/>
      <c r="AG24" s="32"/>
      <c r="AH24" s="41" t="str">
        <f t="shared" si="3"/>
        <v/>
      </c>
      <c r="AI24" s="32"/>
      <c r="AJ24" s="32"/>
      <c r="AK24" s="32"/>
      <c r="AL24" s="32"/>
      <c r="AM24" s="41" t="str">
        <f t="shared" si="4"/>
        <v/>
      </c>
      <c r="AN24" s="32"/>
      <c r="AO24" s="32"/>
      <c r="AP24" s="32"/>
      <c r="AQ24" s="32"/>
      <c r="AR24" s="32"/>
      <c r="AS24" s="32"/>
      <c r="AT24" s="31" t="s">
        <v>432</v>
      </c>
    </row>
    <row r="25" ht="15.75" customHeight="1">
      <c r="A25" s="31" t="s">
        <v>433</v>
      </c>
      <c r="B25" s="31" t="s">
        <v>422</v>
      </c>
      <c r="C25" s="31" t="s">
        <v>321</v>
      </c>
      <c r="D25" s="31" t="s">
        <v>242</v>
      </c>
      <c r="E25" s="32"/>
      <c r="F25" s="31" t="s">
        <v>243</v>
      </c>
      <c r="G25" s="32"/>
      <c r="H25" s="32"/>
      <c r="I25" s="32"/>
      <c r="J25" s="32"/>
      <c r="K25" s="32"/>
      <c r="L25" s="32"/>
      <c r="M25" s="32"/>
      <c r="N25" s="32"/>
      <c r="O25" s="31" t="s">
        <v>246</v>
      </c>
      <c r="P25" s="34">
        <v>46327.0</v>
      </c>
      <c r="Q25" s="31" t="s">
        <v>324</v>
      </c>
      <c r="R25" s="31" t="s">
        <v>247</v>
      </c>
      <c r="S25" s="38">
        <f t="shared" si="1"/>
        <v>4</v>
      </c>
      <c r="T25" s="41" t="str">
        <f t="shared" si="2"/>
        <v>B - worth it</v>
      </c>
      <c r="U25" s="32"/>
      <c r="V25" s="32"/>
      <c r="W25" s="31" t="s">
        <v>434</v>
      </c>
      <c r="X25" s="32"/>
      <c r="Y25" s="31" t="s">
        <v>259</v>
      </c>
      <c r="Z25" s="32"/>
      <c r="AA25" s="42" t="s">
        <v>435</v>
      </c>
      <c r="AB25" s="34">
        <v>46281.0</v>
      </c>
      <c r="AC25" s="32"/>
      <c r="AD25" s="32"/>
      <c r="AE25" s="32"/>
      <c r="AF25" s="32"/>
      <c r="AG25" s="32"/>
      <c r="AH25" s="41" t="str">
        <f t="shared" si="3"/>
        <v/>
      </c>
      <c r="AI25" s="32"/>
      <c r="AJ25" s="32"/>
      <c r="AK25" s="32"/>
      <c r="AL25" s="32"/>
      <c r="AM25" s="41" t="str">
        <f t="shared" si="4"/>
        <v/>
      </c>
      <c r="AN25" s="32"/>
      <c r="AO25" s="32"/>
      <c r="AP25" s="32"/>
      <c r="AQ25" s="32"/>
      <c r="AR25" s="32"/>
      <c r="AS25" s="32"/>
      <c r="AT25" s="31" t="s">
        <v>436</v>
      </c>
    </row>
    <row r="26" ht="15.75" customHeight="1">
      <c r="A26" s="31" t="s">
        <v>437</v>
      </c>
      <c r="B26" s="31" t="s">
        <v>422</v>
      </c>
      <c r="C26" s="31" t="s">
        <v>321</v>
      </c>
      <c r="D26" s="31" t="s">
        <v>242</v>
      </c>
      <c r="E26" s="32"/>
      <c r="F26" s="31" t="s">
        <v>243</v>
      </c>
      <c r="G26" s="32"/>
      <c r="H26" s="32"/>
      <c r="I26" s="32"/>
      <c r="J26" s="32"/>
      <c r="K26" s="32"/>
      <c r="L26" s="32"/>
      <c r="M26" s="32"/>
      <c r="N26" s="32"/>
      <c r="O26" s="31" t="s">
        <v>246</v>
      </c>
      <c r="P26" s="34">
        <v>46327.0</v>
      </c>
      <c r="Q26" s="31" t="s">
        <v>324</v>
      </c>
      <c r="R26" s="31" t="s">
        <v>247</v>
      </c>
      <c r="S26" s="38">
        <f t="shared" si="1"/>
        <v>4</v>
      </c>
      <c r="T26" s="41" t="str">
        <f t="shared" si="2"/>
        <v>B - worth it</v>
      </c>
      <c r="U26" s="32"/>
      <c r="V26" s="32"/>
      <c r="W26" s="31" t="s">
        <v>438</v>
      </c>
      <c r="X26" s="32"/>
      <c r="Y26" s="31" t="s">
        <v>259</v>
      </c>
      <c r="Z26" s="32"/>
      <c r="AA26" s="42" t="s">
        <v>439</v>
      </c>
      <c r="AB26" s="34">
        <v>46281.0</v>
      </c>
      <c r="AC26" s="32"/>
      <c r="AD26" s="32"/>
      <c r="AE26" s="32"/>
      <c r="AF26" s="32"/>
      <c r="AG26" s="32"/>
      <c r="AH26" s="41" t="str">
        <f t="shared" si="3"/>
        <v/>
      </c>
      <c r="AI26" s="32"/>
      <c r="AJ26" s="32"/>
      <c r="AK26" s="32"/>
      <c r="AL26" s="32"/>
      <c r="AM26" s="41" t="str">
        <f t="shared" si="4"/>
        <v/>
      </c>
      <c r="AN26" s="32"/>
      <c r="AO26" s="32"/>
      <c r="AP26" s="32"/>
      <c r="AQ26" s="32"/>
      <c r="AR26" s="32"/>
      <c r="AS26" s="32"/>
      <c r="AT26" s="31" t="s">
        <v>440</v>
      </c>
    </row>
    <row r="27" ht="15.75" customHeight="1">
      <c r="A27" s="31" t="s">
        <v>441</v>
      </c>
      <c r="B27" s="31" t="s">
        <v>422</v>
      </c>
      <c r="C27" s="31" t="s">
        <v>321</v>
      </c>
      <c r="D27" s="31" t="s">
        <v>242</v>
      </c>
      <c r="E27" s="32"/>
      <c r="F27" s="31" t="s">
        <v>243</v>
      </c>
      <c r="G27" s="32"/>
      <c r="H27" s="32"/>
      <c r="I27" s="32"/>
      <c r="J27" s="32"/>
      <c r="K27" s="32"/>
      <c r="L27" s="32"/>
      <c r="M27" s="32"/>
      <c r="N27" s="32"/>
      <c r="O27" s="31" t="s">
        <v>246</v>
      </c>
      <c r="P27" s="34">
        <v>46327.0</v>
      </c>
      <c r="Q27" s="31" t="s">
        <v>324</v>
      </c>
      <c r="R27" s="31" t="s">
        <v>341</v>
      </c>
      <c r="S27" s="38">
        <f t="shared" si="1"/>
        <v>4</v>
      </c>
      <c r="T27" s="41" t="str">
        <f t="shared" si="2"/>
        <v>B - worth it</v>
      </c>
      <c r="U27" s="32"/>
      <c r="V27" s="32"/>
      <c r="W27" s="31" t="s">
        <v>442</v>
      </c>
      <c r="X27" s="32"/>
      <c r="Y27" s="31" t="s">
        <v>259</v>
      </c>
      <c r="Z27" s="32"/>
      <c r="AA27" s="42" t="s">
        <v>439</v>
      </c>
      <c r="AB27" s="34">
        <v>46281.0</v>
      </c>
      <c r="AC27" s="32"/>
      <c r="AD27" s="32"/>
      <c r="AE27" s="32"/>
      <c r="AF27" s="32"/>
      <c r="AG27" s="32"/>
      <c r="AH27" s="41" t="str">
        <f t="shared" si="3"/>
        <v/>
      </c>
      <c r="AI27" s="32"/>
      <c r="AJ27" s="32"/>
      <c r="AK27" s="32"/>
      <c r="AL27" s="32"/>
      <c r="AM27" s="41" t="str">
        <f t="shared" si="4"/>
        <v/>
      </c>
      <c r="AN27" s="32"/>
      <c r="AO27" s="32"/>
      <c r="AP27" s="32"/>
      <c r="AQ27" s="32"/>
      <c r="AR27" s="32"/>
      <c r="AS27" s="32"/>
      <c r="AT27" s="31" t="s">
        <v>443</v>
      </c>
    </row>
    <row r="28" ht="15.75" customHeight="1">
      <c r="A28" s="31" t="s">
        <v>444</v>
      </c>
      <c r="B28" s="31" t="s">
        <v>422</v>
      </c>
      <c r="C28" s="31" t="s">
        <v>445</v>
      </c>
      <c r="D28" s="31" t="s">
        <v>242</v>
      </c>
      <c r="E28" s="32"/>
      <c r="F28" s="31" t="s">
        <v>243</v>
      </c>
      <c r="G28" s="32"/>
      <c r="H28" s="32"/>
      <c r="I28" s="32"/>
      <c r="J28" s="32"/>
      <c r="K28" s="32"/>
      <c r="L28" s="32"/>
      <c r="M28" s="32"/>
      <c r="N28" s="32"/>
      <c r="O28" s="31" t="s">
        <v>246</v>
      </c>
      <c r="P28" s="34">
        <v>46327.0</v>
      </c>
      <c r="Q28" s="31" t="s">
        <v>324</v>
      </c>
      <c r="R28" s="31" t="s">
        <v>247</v>
      </c>
      <c r="S28" s="38">
        <f t="shared" si="1"/>
        <v>4</v>
      </c>
      <c r="T28" s="41" t="str">
        <f t="shared" si="2"/>
        <v>B - worth it</v>
      </c>
      <c r="U28" s="32"/>
      <c r="V28" s="32"/>
      <c r="W28" s="31" t="s">
        <v>446</v>
      </c>
      <c r="X28" s="32"/>
      <c r="Y28" s="31" t="s">
        <v>259</v>
      </c>
      <c r="Z28" s="32"/>
      <c r="AA28" s="42" t="s">
        <v>447</v>
      </c>
      <c r="AB28" s="34">
        <v>46281.0</v>
      </c>
      <c r="AC28" s="32"/>
      <c r="AD28" s="32"/>
      <c r="AE28" s="32"/>
      <c r="AF28" s="32"/>
      <c r="AG28" s="32"/>
      <c r="AH28" s="41" t="str">
        <f t="shared" si="3"/>
        <v/>
      </c>
      <c r="AI28" s="32"/>
      <c r="AJ28" s="32"/>
      <c r="AK28" s="32"/>
      <c r="AL28" s="32"/>
      <c r="AM28" s="41" t="str">
        <f t="shared" si="4"/>
        <v/>
      </c>
      <c r="AN28" s="32"/>
      <c r="AO28" s="32"/>
      <c r="AP28" s="32"/>
      <c r="AQ28" s="32"/>
      <c r="AR28" s="32"/>
      <c r="AS28" s="32"/>
      <c r="AT28" s="31" t="s">
        <v>448</v>
      </c>
    </row>
    <row r="29" ht="15.75" customHeight="1">
      <c r="A29" s="31" t="s">
        <v>449</v>
      </c>
      <c r="B29" s="31" t="s">
        <v>422</v>
      </c>
      <c r="C29" s="31" t="s">
        <v>297</v>
      </c>
      <c r="D29" s="31" t="s">
        <v>242</v>
      </c>
      <c r="E29" s="32"/>
      <c r="F29" s="31" t="s">
        <v>450</v>
      </c>
      <c r="G29" s="32"/>
      <c r="H29" s="32"/>
      <c r="I29" s="32"/>
      <c r="J29" s="32"/>
      <c r="K29" s="32"/>
      <c r="L29" s="32"/>
      <c r="M29" s="32"/>
      <c r="N29" s="32"/>
      <c r="O29" s="31" t="s">
        <v>451</v>
      </c>
      <c r="P29" s="32"/>
      <c r="Q29" s="31" t="s">
        <v>324</v>
      </c>
      <c r="R29" s="31" t="s">
        <v>452</v>
      </c>
      <c r="S29" s="38">
        <f t="shared" si="1"/>
        <v>4</v>
      </c>
      <c r="T29" s="41" t="str">
        <f t="shared" si="2"/>
        <v>B - worth it</v>
      </c>
      <c r="U29" s="32"/>
      <c r="V29" s="32"/>
      <c r="W29" s="32"/>
      <c r="X29" s="32"/>
      <c r="Y29" s="31" t="s">
        <v>240</v>
      </c>
      <c r="Z29" s="32"/>
      <c r="AA29" s="42" t="s">
        <v>439</v>
      </c>
      <c r="AB29" s="34">
        <v>46281.0</v>
      </c>
      <c r="AC29" s="32"/>
      <c r="AD29" s="32"/>
      <c r="AE29" s="32"/>
      <c r="AF29" s="32"/>
      <c r="AG29" s="32"/>
      <c r="AH29" s="41" t="str">
        <f t="shared" si="3"/>
        <v/>
      </c>
      <c r="AI29" s="32"/>
      <c r="AJ29" s="32"/>
      <c r="AK29" s="32"/>
      <c r="AL29" s="32"/>
      <c r="AM29" s="41" t="str">
        <f t="shared" si="4"/>
        <v/>
      </c>
      <c r="AN29" s="32"/>
      <c r="AO29" s="32"/>
      <c r="AP29" s="32"/>
      <c r="AQ29" s="32"/>
      <c r="AR29" s="32"/>
      <c r="AS29" s="32"/>
      <c r="AT29" s="31" t="s">
        <v>453</v>
      </c>
    </row>
    <row r="30" ht="15.75" customHeight="1">
      <c r="A30" s="31" t="s">
        <v>454</v>
      </c>
      <c r="B30" s="31" t="s">
        <v>455</v>
      </c>
      <c r="C30" s="31" t="s">
        <v>378</v>
      </c>
      <c r="D30" s="31" t="s">
        <v>242</v>
      </c>
      <c r="E30" s="32"/>
      <c r="F30" s="31" t="s">
        <v>243</v>
      </c>
      <c r="G30" s="32"/>
      <c r="H30" s="32"/>
      <c r="I30" s="32"/>
      <c r="J30" s="32"/>
      <c r="K30" s="32"/>
      <c r="L30" s="32"/>
      <c r="M30" s="32"/>
      <c r="N30" s="32"/>
      <c r="O30" s="31" t="s">
        <v>246</v>
      </c>
      <c r="P30" s="34">
        <v>46327.0</v>
      </c>
      <c r="Q30" s="31" t="s">
        <v>324</v>
      </c>
      <c r="R30" s="31" t="s">
        <v>341</v>
      </c>
      <c r="S30" s="38">
        <f t="shared" si="1"/>
        <v>4</v>
      </c>
      <c r="T30" s="41" t="str">
        <f t="shared" si="2"/>
        <v>B - worth it</v>
      </c>
      <c r="U30" s="32"/>
      <c r="V30" s="31" t="s">
        <v>456</v>
      </c>
      <c r="W30" s="31" t="s">
        <v>457</v>
      </c>
      <c r="X30" s="31" t="s">
        <v>458</v>
      </c>
      <c r="Y30" s="31" t="s">
        <v>192</v>
      </c>
      <c r="Z30" s="32"/>
      <c r="AA30" s="42" t="s">
        <v>459</v>
      </c>
      <c r="AB30" s="34">
        <v>46281.0</v>
      </c>
      <c r="AC30" s="32"/>
      <c r="AD30" s="32"/>
      <c r="AE30" s="32"/>
      <c r="AF30" s="32"/>
      <c r="AG30" s="32"/>
      <c r="AH30" s="41" t="str">
        <f t="shared" si="3"/>
        <v/>
      </c>
      <c r="AI30" s="32"/>
      <c r="AJ30" s="32"/>
      <c r="AK30" s="32"/>
      <c r="AL30" s="32"/>
      <c r="AM30" s="41" t="str">
        <f t="shared" si="4"/>
        <v/>
      </c>
      <c r="AN30" s="32"/>
      <c r="AO30" s="32"/>
      <c r="AP30" s="32"/>
      <c r="AQ30" s="32"/>
      <c r="AR30" s="32"/>
      <c r="AS30" s="32"/>
      <c r="AT30" s="31" t="s">
        <v>460</v>
      </c>
    </row>
    <row r="31" ht="15.75" customHeight="1">
      <c r="A31" s="31" t="s">
        <v>461</v>
      </c>
      <c r="B31" s="31" t="s">
        <v>455</v>
      </c>
      <c r="C31" s="31" t="s">
        <v>378</v>
      </c>
      <c r="D31" s="31" t="s">
        <v>242</v>
      </c>
      <c r="E31" s="32"/>
      <c r="F31" s="31" t="s">
        <v>243</v>
      </c>
      <c r="G31" s="32"/>
      <c r="H31" s="32"/>
      <c r="I31" s="32"/>
      <c r="J31" s="32"/>
      <c r="K31" s="32"/>
      <c r="L31" s="32"/>
      <c r="M31" s="32"/>
      <c r="N31" s="32"/>
      <c r="O31" s="31" t="s">
        <v>246</v>
      </c>
      <c r="P31" s="34">
        <v>46327.0</v>
      </c>
      <c r="Q31" s="31" t="s">
        <v>324</v>
      </c>
      <c r="R31" s="31" t="s">
        <v>341</v>
      </c>
      <c r="S31" s="38">
        <f t="shared" si="1"/>
        <v>4</v>
      </c>
      <c r="T31" s="41" t="str">
        <f t="shared" si="2"/>
        <v>B - worth it</v>
      </c>
      <c r="U31" s="32"/>
      <c r="V31" s="32"/>
      <c r="W31" s="31" t="s">
        <v>462</v>
      </c>
      <c r="X31" s="31" t="s">
        <v>463</v>
      </c>
      <c r="Y31" s="31" t="s">
        <v>192</v>
      </c>
      <c r="Z31" s="32"/>
      <c r="AA31" s="42" t="s">
        <v>459</v>
      </c>
      <c r="AB31" s="34">
        <v>46281.0</v>
      </c>
      <c r="AC31" s="32"/>
      <c r="AD31" s="32"/>
      <c r="AE31" s="32"/>
      <c r="AF31" s="32"/>
      <c r="AG31" s="32"/>
      <c r="AH31" s="41" t="str">
        <f t="shared" si="3"/>
        <v/>
      </c>
      <c r="AI31" s="32"/>
      <c r="AJ31" s="32"/>
      <c r="AK31" s="32"/>
      <c r="AL31" s="32"/>
      <c r="AM31" s="41" t="str">
        <f t="shared" si="4"/>
        <v/>
      </c>
      <c r="AN31" s="32"/>
      <c r="AO31" s="32"/>
      <c r="AP31" s="32"/>
      <c r="AQ31" s="32"/>
      <c r="AR31" s="32"/>
      <c r="AS31" s="32"/>
      <c r="AT31" s="31" t="s">
        <v>464</v>
      </c>
    </row>
    <row r="32" ht="15.75" customHeight="1">
      <c r="A32" s="31" t="s">
        <v>465</v>
      </c>
      <c r="B32" s="31" t="s">
        <v>455</v>
      </c>
      <c r="C32" s="31" t="s">
        <v>277</v>
      </c>
      <c r="D32" s="31" t="s">
        <v>242</v>
      </c>
      <c r="E32" s="32"/>
      <c r="F32" s="31" t="s">
        <v>243</v>
      </c>
      <c r="G32" s="32"/>
      <c r="H32" s="32"/>
      <c r="I32" s="32"/>
      <c r="J32" s="32"/>
      <c r="K32" s="32"/>
      <c r="L32" s="32"/>
      <c r="M32" s="32"/>
      <c r="N32" s="32"/>
      <c r="O32" s="31" t="s">
        <v>246</v>
      </c>
      <c r="P32" s="34">
        <v>46327.0</v>
      </c>
      <c r="Q32" s="31" t="s">
        <v>324</v>
      </c>
      <c r="R32" s="31" t="s">
        <v>341</v>
      </c>
      <c r="S32" s="38">
        <f t="shared" si="1"/>
        <v>4</v>
      </c>
      <c r="T32" s="41" t="str">
        <f t="shared" si="2"/>
        <v>B - worth it</v>
      </c>
      <c r="U32" s="32"/>
      <c r="V32" s="32"/>
      <c r="W32" s="31" t="s">
        <v>466</v>
      </c>
      <c r="X32" s="31" t="s">
        <v>467</v>
      </c>
      <c r="Y32" s="31" t="s">
        <v>192</v>
      </c>
      <c r="Z32" s="32"/>
      <c r="AA32" s="42" t="s">
        <v>459</v>
      </c>
      <c r="AB32" s="34">
        <v>46281.0</v>
      </c>
      <c r="AC32" s="32"/>
      <c r="AD32" s="32"/>
      <c r="AE32" s="32"/>
      <c r="AF32" s="32"/>
      <c r="AG32" s="32"/>
      <c r="AH32" s="41" t="str">
        <f t="shared" si="3"/>
        <v/>
      </c>
      <c r="AI32" s="32"/>
      <c r="AJ32" s="32"/>
      <c r="AK32" s="32"/>
      <c r="AL32" s="32"/>
      <c r="AM32" s="41" t="str">
        <f t="shared" si="4"/>
        <v/>
      </c>
      <c r="AN32" s="32"/>
      <c r="AO32" s="32"/>
      <c r="AP32" s="32"/>
      <c r="AQ32" s="32"/>
      <c r="AR32" s="32"/>
      <c r="AS32" s="32"/>
      <c r="AT32" s="31" t="s">
        <v>468</v>
      </c>
    </row>
    <row r="33" ht="15.75" customHeight="1">
      <c r="A33" s="31" t="s">
        <v>469</v>
      </c>
      <c r="B33" s="31" t="s">
        <v>455</v>
      </c>
      <c r="C33" s="31" t="s">
        <v>321</v>
      </c>
      <c r="D33" s="31" t="s">
        <v>242</v>
      </c>
      <c r="E33" s="32"/>
      <c r="F33" s="31" t="s">
        <v>243</v>
      </c>
      <c r="G33" s="32"/>
      <c r="H33" s="32"/>
      <c r="I33" s="32"/>
      <c r="J33" s="32"/>
      <c r="K33" s="32"/>
      <c r="L33" s="32"/>
      <c r="M33" s="32"/>
      <c r="N33" s="32"/>
      <c r="O33" s="31" t="s">
        <v>246</v>
      </c>
      <c r="P33" s="34">
        <v>46327.0</v>
      </c>
      <c r="Q33" s="31" t="s">
        <v>324</v>
      </c>
      <c r="R33" s="31" t="s">
        <v>341</v>
      </c>
      <c r="S33" s="38">
        <f t="shared" si="1"/>
        <v>4</v>
      </c>
      <c r="T33" s="41" t="str">
        <f t="shared" si="2"/>
        <v>B - worth it</v>
      </c>
      <c r="U33" s="32"/>
      <c r="V33" s="32"/>
      <c r="W33" s="31" t="s">
        <v>470</v>
      </c>
      <c r="X33" s="31" t="s">
        <v>471</v>
      </c>
      <c r="Y33" s="31" t="s">
        <v>192</v>
      </c>
      <c r="Z33" s="32"/>
      <c r="AA33" s="42" t="s">
        <v>439</v>
      </c>
      <c r="AB33" s="34">
        <v>46281.0</v>
      </c>
      <c r="AC33" s="32"/>
      <c r="AD33" s="32"/>
      <c r="AE33" s="32"/>
      <c r="AF33" s="32"/>
      <c r="AG33" s="32"/>
      <c r="AH33" s="41" t="str">
        <f t="shared" si="3"/>
        <v/>
      </c>
      <c r="AI33" s="32"/>
      <c r="AJ33" s="32"/>
      <c r="AK33" s="32"/>
      <c r="AL33" s="32"/>
      <c r="AM33" s="41" t="str">
        <f t="shared" si="4"/>
        <v/>
      </c>
      <c r="AN33" s="32"/>
      <c r="AO33" s="32"/>
      <c r="AP33" s="32"/>
      <c r="AQ33" s="32"/>
      <c r="AR33" s="32"/>
      <c r="AS33" s="32"/>
      <c r="AT33" s="31" t="s">
        <v>472</v>
      </c>
    </row>
    <row r="34" ht="15.75" customHeight="1">
      <c r="A34" s="31" t="s">
        <v>473</v>
      </c>
      <c r="B34" s="31" t="s">
        <v>455</v>
      </c>
      <c r="C34" s="31" t="s">
        <v>321</v>
      </c>
      <c r="D34" s="31" t="s">
        <v>242</v>
      </c>
      <c r="E34" s="32"/>
      <c r="F34" s="31" t="s">
        <v>243</v>
      </c>
      <c r="G34" s="31" t="s">
        <v>474</v>
      </c>
      <c r="H34" s="32"/>
      <c r="I34" s="32"/>
      <c r="J34" s="32"/>
      <c r="K34" s="32"/>
      <c r="L34" s="32"/>
      <c r="M34" s="32"/>
      <c r="N34" s="32"/>
      <c r="O34" s="31" t="s">
        <v>246</v>
      </c>
      <c r="P34" s="34">
        <v>46327.0</v>
      </c>
      <c r="Q34" s="31" t="s">
        <v>324</v>
      </c>
      <c r="R34" s="31" t="s">
        <v>475</v>
      </c>
      <c r="S34" s="38">
        <f t="shared" si="1"/>
        <v>4</v>
      </c>
      <c r="T34" s="41" t="str">
        <f t="shared" si="2"/>
        <v>B - worth it</v>
      </c>
      <c r="U34" s="32"/>
      <c r="V34" s="32"/>
      <c r="W34" s="31" t="s">
        <v>476</v>
      </c>
      <c r="X34" s="31" t="s">
        <v>477</v>
      </c>
      <c r="Y34" s="31" t="s">
        <v>192</v>
      </c>
      <c r="Z34" s="32"/>
      <c r="AA34" s="42" t="s">
        <v>459</v>
      </c>
      <c r="AB34" s="34">
        <v>46281.0</v>
      </c>
      <c r="AC34" s="32"/>
      <c r="AD34" s="32"/>
      <c r="AE34" s="32"/>
      <c r="AF34" s="32"/>
      <c r="AG34" s="32"/>
      <c r="AH34" s="41" t="str">
        <f t="shared" si="3"/>
        <v/>
      </c>
      <c r="AI34" s="32"/>
      <c r="AJ34" s="32"/>
      <c r="AK34" s="32"/>
      <c r="AL34" s="32"/>
      <c r="AM34" s="41" t="str">
        <f t="shared" si="4"/>
        <v/>
      </c>
      <c r="AN34" s="32"/>
      <c r="AO34" s="32"/>
      <c r="AP34" s="32"/>
      <c r="AQ34" s="32"/>
      <c r="AR34" s="32"/>
      <c r="AS34" s="32"/>
      <c r="AT34" s="31" t="s">
        <v>478</v>
      </c>
    </row>
    <row r="35" ht="15.75" customHeight="1">
      <c r="A35" s="31" t="s">
        <v>479</v>
      </c>
      <c r="B35" s="31" t="s">
        <v>455</v>
      </c>
      <c r="C35" s="31" t="s">
        <v>405</v>
      </c>
      <c r="D35" s="31" t="s">
        <v>242</v>
      </c>
      <c r="E35" s="32"/>
      <c r="F35" s="31" t="s">
        <v>243</v>
      </c>
      <c r="G35" s="31" t="s">
        <v>480</v>
      </c>
      <c r="H35" s="32"/>
      <c r="I35" s="32"/>
      <c r="J35" s="32"/>
      <c r="K35" s="32"/>
      <c r="L35" s="32"/>
      <c r="M35" s="32"/>
      <c r="N35" s="32"/>
      <c r="O35" s="31" t="s">
        <v>246</v>
      </c>
      <c r="P35" s="34">
        <v>46327.0</v>
      </c>
      <c r="Q35" s="31" t="s">
        <v>324</v>
      </c>
      <c r="R35" s="31" t="s">
        <v>475</v>
      </c>
      <c r="S35" s="38">
        <f t="shared" si="1"/>
        <v>4</v>
      </c>
      <c r="T35" s="41" t="str">
        <f t="shared" si="2"/>
        <v>B - worth it</v>
      </c>
      <c r="U35" s="32"/>
      <c r="V35" s="32"/>
      <c r="W35" s="31" t="s">
        <v>481</v>
      </c>
      <c r="X35" s="31" t="s">
        <v>482</v>
      </c>
      <c r="Y35" s="31" t="s">
        <v>192</v>
      </c>
      <c r="Z35" s="32"/>
      <c r="AA35" s="42" t="s">
        <v>459</v>
      </c>
      <c r="AB35" s="34">
        <v>46281.0</v>
      </c>
      <c r="AC35" s="32"/>
      <c r="AD35" s="32"/>
      <c r="AE35" s="32"/>
      <c r="AF35" s="32"/>
      <c r="AG35" s="32"/>
      <c r="AH35" s="41" t="str">
        <f t="shared" si="3"/>
        <v/>
      </c>
      <c r="AI35" s="32"/>
      <c r="AJ35" s="32"/>
      <c r="AK35" s="32"/>
      <c r="AL35" s="32"/>
      <c r="AM35" s="41" t="str">
        <f t="shared" si="4"/>
        <v/>
      </c>
      <c r="AN35" s="32"/>
      <c r="AO35" s="32"/>
      <c r="AP35" s="32"/>
      <c r="AQ35" s="32"/>
      <c r="AR35" s="32"/>
      <c r="AS35" s="32"/>
      <c r="AT35" s="31" t="s">
        <v>483</v>
      </c>
    </row>
    <row r="36" ht="15.75" customHeight="1">
      <c r="A36" s="31" t="s">
        <v>484</v>
      </c>
      <c r="B36" s="31" t="s">
        <v>455</v>
      </c>
      <c r="C36" s="31" t="s">
        <v>277</v>
      </c>
      <c r="D36" s="31" t="s">
        <v>242</v>
      </c>
      <c r="E36" s="32"/>
      <c r="F36" s="31" t="s">
        <v>243</v>
      </c>
      <c r="G36" s="31" t="s">
        <v>485</v>
      </c>
      <c r="H36" s="32"/>
      <c r="I36" s="32"/>
      <c r="J36" s="32"/>
      <c r="K36" s="32"/>
      <c r="L36" s="32"/>
      <c r="M36" s="32"/>
      <c r="N36" s="32"/>
      <c r="O36" s="31" t="s">
        <v>246</v>
      </c>
      <c r="P36" s="34">
        <v>46327.0</v>
      </c>
      <c r="Q36" s="31" t="s">
        <v>324</v>
      </c>
      <c r="R36" s="31" t="s">
        <v>475</v>
      </c>
      <c r="S36" s="38">
        <f t="shared" si="1"/>
        <v>4</v>
      </c>
      <c r="T36" s="41" t="str">
        <f t="shared" si="2"/>
        <v>B - worth it</v>
      </c>
      <c r="U36" s="32"/>
      <c r="V36" s="32"/>
      <c r="W36" s="31" t="s">
        <v>486</v>
      </c>
      <c r="X36" s="31" t="s">
        <v>487</v>
      </c>
      <c r="Y36" s="31" t="s">
        <v>192</v>
      </c>
      <c r="Z36" s="32"/>
      <c r="AA36" s="42" t="s">
        <v>459</v>
      </c>
      <c r="AB36" s="34">
        <v>46281.0</v>
      </c>
      <c r="AC36" s="32"/>
      <c r="AD36" s="32"/>
      <c r="AE36" s="32"/>
      <c r="AF36" s="32"/>
      <c r="AG36" s="32"/>
      <c r="AH36" s="41" t="str">
        <f t="shared" si="3"/>
        <v/>
      </c>
      <c r="AI36" s="32"/>
      <c r="AJ36" s="32"/>
      <c r="AK36" s="32"/>
      <c r="AL36" s="32"/>
      <c r="AM36" s="41" t="str">
        <f t="shared" si="4"/>
        <v/>
      </c>
      <c r="AN36" s="32"/>
      <c r="AO36" s="32"/>
      <c r="AP36" s="32"/>
      <c r="AQ36" s="32"/>
      <c r="AR36" s="32"/>
      <c r="AS36" s="32"/>
      <c r="AT36" s="31" t="s">
        <v>488</v>
      </c>
    </row>
    <row r="37" ht="15.75" customHeight="1">
      <c r="A37" s="31" t="s">
        <v>489</v>
      </c>
      <c r="B37" s="31" t="s">
        <v>347</v>
      </c>
      <c r="C37" s="31" t="s">
        <v>321</v>
      </c>
      <c r="D37" s="31" t="s">
        <v>242</v>
      </c>
      <c r="E37" s="32"/>
      <c r="F37" s="31" t="s">
        <v>243</v>
      </c>
      <c r="G37" s="32"/>
      <c r="H37" s="32"/>
      <c r="I37" s="32"/>
      <c r="J37" s="32"/>
      <c r="K37" s="32"/>
      <c r="L37" s="32"/>
      <c r="M37" s="32"/>
      <c r="N37" s="32"/>
      <c r="O37" s="31" t="s">
        <v>246</v>
      </c>
      <c r="P37" s="34">
        <v>46327.0</v>
      </c>
      <c r="Q37" s="31" t="s">
        <v>324</v>
      </c>
      <c r="R37" s="31" t="s">
        <v>341</v>
      </c>
      <c r="S37" s="38">
        <f t="shared" si="1"/>
        <v>4</v>
      </c>
      <c r="T37" s="41" t="str">
        <f t="shared" si="2"/>
        <v>B - worth it</v>
      </c>
      <c r="U37" s="32"/>
      <c r="V37" s="32"/>
      <c r="W37" s="31" t="s">
        <v>490</v>
      </c>
      <c r="X37" s="32"/>
      <c r="Y37" s="31" t="s">
        <v>259</v>
      </c>
      <c r="Z37" s="32"/>
      <c r="AA37" s="42" t="s">
        <v>439</v>
      </c>
      <c r="AB37" s="34">
        <v>46281.0</v>
      </c>
      <c r="AC37" s="32"/>
      <c r="AD37" s="32"/>
      <c r="AE37" s="32"/>
      <c r="AF37" s="32"/>
      <c r="AG37" s="32"/>
      <c r="AH37" s="41" t="str">
        <f t="shared" si="3"/>
        <v/>
      </c>
      <c r="AI37" s="32"/>
      <c r="AJ37" s="32"/>
      <c r="AK37" s="32"/>
      <c r="AL37" s="32"/>
      <c r="AM37" s="41" t="str">
        <f t="shared" si="4"/>
        <v/>
      </c>
      <c r="AN37" s="32"/>
      <c r="AO37" s="32"/>
      <c r="AP37" s="32"/>
      <c r="AQ37" s="32"/>
      <c r="AR37" s="32"/>
      <c r="AS37" s="32"/>
      <c r="AT37" s="31" t="s">
        <v>491</v>
      </c>
    </row>
    <row r="38" ht="15.75" customHeight="1">
      <c r="A38" s="31" t="s">
        <v>492</v>
      </c>
      <c r="B38" s="31" t="s">
        <v>347</v>
      </c>
      <c r="C38" s="31" t="s">
        <v>321</v>
      </c>
      <c r="D38" s="31" t="s">
        <v>242</v>
      </c>
      <c r="E38" s="32"/>
      <c r="F38" s="31" t="s">
        <v>243</v>
      </c>
      <c r="G38" s="32"/>
      <c r="H38" s="32"/>
      <c r="I38" s="32"/>
      <c r="J38" s="32"/>
      <c r="K38" s="32"/>
      <c r="L38" s="32"/>
      <c r="M38" s="32"/>
      <c r="N38" s="32"/>
      <c r="O38" s="31" t="s">
        <v>246</v>
      </c>
      <c r="P38" s="34">
        <v>46327.0</v>
      </c>
      <c r="Q38" s="31" t="s">
        <v>324</v>
      </c>
      <c r="R38" s="31" t="s">
        <v>341</v>
      </c>
      <c r="S38" s="38">
        <f t="shared" si="1"/>
        <v>4</v>
      </c>
      <c r="T38" s="41" t="str">
        <f t="shared" si="2"/>
        <v>B - worth it</v>
      </c>
      <c r="U38" s="32"/>
      <c r="V38" s="32"/>
      <c r="W38" s="31" t="s">
        <v>493</v>
      </c>
      <c r="X38" s="32"/>
      <c r="Y38" s="31" t="s">
        <v>259</v>
      </c>
      <c r="Z38" s="32"/>
      <c r="AA38" s="42" t="s">
        <v>439</v>
      </c>
      <c r="AB38" s="34">
        <v>46281.0</v>
      </c>
      <c r="AC38" s="32"/>
      <c r="AD38" s="32"/>
      <c r="AE38" s="32"/>
      <c r="AF38" s="32"/>
      <c r="AG38" s="32"/>
      <c r="AH38" s="41" t="str">
        <f t="shared" si="3"/>
        <v/>
      </c>
      <c r="AI38" s="32"/>
      <c r="AJ38" s="32"/>
      <c r="AK38" s="32"/>
      <c r="AL38" s="32"/>
      <c r="AM38" s="41" t="str">
        <f t="shared" si="4"/>
        <v/>
      </c>
      <c r="AN38" s="32"/>
      <c r="AO38" s="32"/>
      <c r="AP38" s="32"/>
      <c r="AQ38" s="32"/>
      <c r="AR38" s="32"/>
      <c r="AS38" s="32"/>
      <c r="AT38" s="31" t="s">
        <v>494</v>
      </c>
    </row>
    <row r="39" ht="15.75" customHeight="1">
      <c r="A39" s="31" t="s">
        <v>495</v>
      </c>
      <c r="B39" s="31" t="s">
        <v>347</v>
      </c>
      <c r="C39" s="31" t="s">
        <v>321</v>
      </c>
      <c r="D39" s="31" t="s">
        <v>496</v>
      </c>
      <c r="E39" s="32"/>
      <c r="F39" s="31" t="s">
        <v>450</v>
      </c>
      <c r="G39" s="32"/>
      <c r="H39" s="32"/>
      <c r="I39" s="32"/>
      <c r="J39" s="32"/>
      <c r="K39" s="32"/>
      <c r="L39" s="32"/>
      <c r="M39" s="32"/>
      <c r="N39" s="32"/>
      <c r="O39" s="31" t="s">
        <v>246</v>
      </c>
      <c r="P39" s="34">
        <v>46327.0</v>
      </c>
      <c r="Q39" s="31" t="s">
        <v>324</v>
      </c>
      <c r="R39" s="31" t="s">
        <v>475</v>
      </c>
      <c r="S39" s="38">
        <f t="shared" si="1"/>
        <v>4</v>
      </c>
      <c r="T39" s="41" t="str">
        <f t="shared" si="2"/>
        <v>B - worth it</v>
      </c>
      <c r="U39" s="32"/>
      <c r="V39" s="32"/>
      <c r="W39" s="31" t="s">
        <v>497</v>
      </c>
      <c r="X39" s="32"/>
      <c r="Y39" s="31" t="s">
        <v>259</v>
      </c>
      <c r="Z39" s="32"/>
      <c r="AA39" s="42" t="s">
        <v>439</v>
      </c>
      <c r="AB39" s="34">
        <v>46281.0</v>
      </c>
      <c r="AC39" s="32"/>
      <c r="AD39" s="32"/>
      <c r="AE39" s="32"/>
      <c r="AF39" s="32"/>
      <c r="AG39" s="32"/>
      <c r="AH39" s="41" t="str">
        <f t="shared" si="3"/>
        <v/>
      </c>
      <c r="AI39" s="32"/>
      <c r="AJ39" s="32"/>
      <c r="AK39" s="32"/>
      <c r="AL39" s="32"/>
      <c r="AM39" s="41" t="str">
        <f t="shared" si="4"/>
        <v/>
      </c>
      <c r="AN39" s="32"/>
      <c r="AO39" s="32"/>
      <c r="AP39" s="32"/>
      <c r="AQ39" s="32"/>
      <c r="AR39" s="32"/>
      <c r="AS39" s="32"/>
      <c r="AT39" s="31" t="s">
        <v>498</v>
      </c>
    </row>
    <row r="40" ht="15.75" customHeight="1">
      <c r="A40" s="31" t="s">
        <v>499</v>
      </c>
      <c r="B40" s="31" t="s">
        <v>347</v>
      </c>
      <c r="C40" s="31" t="s">
        <v>321</v>
      </c>
      <c r="D40" s="31" t="s">
        <v>496</v>
      </c>
      <c r="E40" s="32"/>
      <c r="F40" s="31" t="s">
        <v>450</v>
      </c>
      <c r="G40" s="32"/>
      <c r="H40" s="32"/>
      <c r="I40" s="32"/>
      <c r="J40" s="32"/>
      <c r="K40" s="32"/>
      <c r="L40" s="32"/>
      <c r="M40" s="32"/>
      <c r="N40" s="32"/>
      <c r="O40" s="31" t="s">
        <v>246</v>
      </c>
      <c r="P40" s="34">
        <v>46327.0</v>
      </c>
      <c r="Q40" s="31" t="s">
        <v>324</v>
      </c>
      <c r="R40" s="31" t="s">
        <v>475</v>
      </c>
      <c r="S40" s="38">
        <f t="shared" si="1"/>
        <v>4</v>
      </c>
      <c r="T40" s="41" t="str">
        <f t="shared" si="2"/>
        <v>B - worth it</v>
      </c>
      <c r="U40" s="32"/>
      <c r="V40" s="32"/>
      <c r="W40" s="31" t="s">
        <v>500</v>
      </c>
      <c r="X40" s="32"/>
      <c r="Y40" s="31" t="s">
        <v>259</v>
      </c>
      <c r="Z40" s="32"/>
      <c r="AA40" s="42" t="s">
        <v>439</v>
      </c>
      <c r="AB40" s="34">
        <v>46281.0</v>
      </c>
      <c r="AC40" s="32"/>
      <c r="AD40" s="32"/>
      <c r="AE40" s="32"/>
      <c r="AF40" s="32"/>
      <c r="AG40" s="32"/>
      <c r="AH40" s="41" t="str">
        <f t="shared" si="3"/>
        <v/>
      </c>
      <c r="AI40" s="32"/>
      <c r="AJ40" s="32"/>
      <c r="AK40" s="32"/>
      <c r="AL40" s="32"/>
      <c r="AM40" s="41" t="str">
        <f t="shared" si="4"/>
        <v/>
      </c>
      <c r="AN40" s="32"/>
      <c r="AO40" s="32"/>
      <c r="AP40" s="32"/>
      <c r="AQ40" s="32"/>
      <c r="AR40" s="32"/>
      <c r="AS40" s="32"/>
      <c r="AT40" s="31" t="s">
        <v>501</v>
      </c>
    </row>
    <row r="41" ht="15.75" customHeight="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8" t="str">
        <f t="shared" si="1"/>
        <v/>
      </c>
      <c r="T41" s="41" t="str">
        <f t="shared" si="2"/>
        <v/>
      </c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41" t="str">
        <f t="shared" si="3"/>
        <v/>
      </c>
      <c r="AI41" s="32"/>
      <c r="AJ41" s="32"/>
      <c r="AK41" s="32"/>
      <c r="AL41" s="32"/>
      <c r="AM41" s="41" t="str">
        <f t="shared" si="4"/>
        <v/>
      </c>
      <c r="AN41" s="32"/>
      <c r="AO41" s="32"/>
      <c r="AP41" s="32"/>
      <c r="AQ41" s="32"/>
      <c r="AR41" s="32"/>
      <c r="AS41" s="32"/>
      <c r="AT41" s="32"/>
    </row>
    <row r="42" ht="15.75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8" t="str">
        <f t="shared" si="1"/>
        <v/>
      </c>
      <c r="T42" s="41" t="str">
        <f t="shared" si="2"/>
        <v/>
      </c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41" t="str">
        <f t="shared" si="3"/>
        <v/>
      </c>
      <c r="AI42" s="32"/>
      <c r="AJ42" s="32"/>
      <c r="AK42" s="32"/>
      <c r="AL42" s="32"/>
      <c r="AM42" s="41" t="str">
        <f t="shared" si="4"/>
        <v/>
      </c>
      <c r="AN42" s="32"/>
      <c r="AO42" s="32"/>
      <c r="AP42" s="32"/>
      <c r="AQ42" s="32"/>
      <c r="AR42" s="32"/>
      <c r="AS42" s="32"/>
      <c r="AT42" s="32"/>
    </row>
    <row r="43" ht="15.75" customHeight="1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8" t="str">
        <f t="shared" si="1"/>
        <v/>
      </c>
      <c r="T43" s="41" t="str">
        <f t="shared" si="2"/>
        <v/>
      </c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41" t="str">
        <f t="shared" si="3"/>
        <v/>
      </c>
      <c r="AI43" s="32"/>
      <c r="AJ43" s="32"/>
      <c r="AK43" s="32"/>
      <c r="AL43" s="32"/>
      <c r="AM43" s="41" t="str">
        <f t="shared" si="4"/>
        <v/>
      </c>
      <c r="AN43" s="32"/>
      <c r="AO43" s="32"/>
      <c r="AP43" s="32"/>
      <c r="AQ43" s="32"/>
      <c r="AR43" s="32"/>
      <c r="AS43" s="32"/>
      <c r="AT43" s="32"/>
    </row>
    <row r="44" ht="15.75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8" t="str">
        <f t="shared" si="1"/>
        <v/>
      </c>
      <c r="T44" s="41" t="str">
        <f t="shared" si="2"/>
        <v/>
      </c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41" t="str">
        <f t="shared" si="3"/>
        <v/>
      </c>
      <c r="AI44" s="32"/>
      <c r="AJ44" s="32"/>
      <c r="AK44" s="32"/>
      <c r="AL44" s="32"/>
      <c r="AM44" s="41" t="str">
        <f t="shared" si="4"/>
        <v/>
      </c>
      <c r="AN44" s="32"/>
      <c r="AO44" s="32"/>
      <c r="AP44" s="32"/>
      <c r="AQ44" s="32"/>
      <c r="AR44" s="32"/>
      <c r="AS44" s="32"/>
      <c r="AT44" s="32"/>
    </row>
    <row r="45" ht="15.75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8" t="str">
        <f t="shared" si="1"/>
        <v/>
      </c>
      <c r="T45" s="41" t="str">
        <f t="shared" si="2"/>
        <v/>
      </c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41" t="str">
        <f t="shared" si="3"/>
        <v/>
      </c>
      <c r="AI45" s="32"/>
      <c r="AJ45" s="32"/>
      <c r="AK45" s="32"/>
      <c r="AL45" s="32"/>
      <c r="AM45" s="41" t="str">
        <f t="shared" si="4"/>
        <v/>
      </c>
      <c r="AN45" s="32"/>
      <c r="AO45" s="32"/>
      <c r="AP45" s="32"/>
      <c r="AQ45" s="32"/>
      <c r="AR45" s="32"/>
      <c r="AS45" s="32"/>
      <c r="AT45" s="32"/>
    </row>
    <row r="46" ht="15.75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8" t="str">
        <f t="shared" si="1"/>
        <v/>
      </c>
      <c r="T46" s="41" t="str">
        <f t="shared" si="2"/>
        <v/>
      </c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41" t="str">
        <f t="shared" si="3"/>
        <v/>
      </c>
      <c r="AI46" s="32"/>
      <c r="AJ46" s="32"/>
      <c r="AK46" s="32"/>
      <c r="AL46" s="32"/>
      <c r="AM46" s="41" t="str">
        <f t="shared" si="4"/>
        <v/>
      </c>
      <c r="AN46" s="32"/>
      <c r="AO46" s="32"/>
      <c r="AP46" s="32"/>
      <c r="AQ46" s="32"/>
      <c r="AR46" s="32"/>
      <c r="AS46" s="32"/>
      <c r="AT46" s="32"/>
    </row>
    <row r="47" ht="15.75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8" t="str">
        <f t="shared" si="1"/>
        <v/>
      </c>
      <c r="T47" s="41" t="str">
        <f t="shared" si="2"/>
        <v/>
      </c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41" t="str">
        <f t="shared" si="3"/>
        <v/>
      </c>
      <c r="AI47" s="32"/>
      <c r="AJ47" s="32"/>
      <c r="AK47" s="32"/>
      <c r="AL47" s="32"/>
      <c r="AM47" s="41" t="str">
        <f t="shared" si="4"/>
        <v/>
      </c>
      <c r="AN47" s="32"/>
      <c r="AO47" s="32"/>
      <c r="AP47" s="32"/>
      <c r="AQ47" s="32"/>
      <c r="AR47" s="32"/>
      <c r="AS47" s="32"/>
      <c r="AT47" s="32"/>
    </row>
    <row r="48" ht="15.75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8" t="str">
        <f t="shared" si="1"/>
        <v/>
      </c>
      <c r="T48" s="41" t="str">
        <f t="shared" si="2"/>
        <v/>
      </c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41" t="str">
        <f t="shared" si="3"/>
        <v/>
      </c>
      <c r="AI48" s="32"/>
      <c r="AJ48" s="32"/>
      <c r="AK48" s="32"/>
      <c r="AL48" s="32"/>
      <c r="AM48" s="41" t="str">
        <f t="shared" si="4"/>
        <v/>
      </c>
      <c r="AN48" s="32"/>
      <c r="AO48" s="32"/>
      <c r="AP48" s="32"/>
      <c r="AQ48" s="32"/>
      <c r="AR48" s="32"/>
      <c r="AS48" s="32"/>
      <c r="AT48" s="32"/>
    </row>
    <row r="49" ht="15.75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8" t="str">
        <f t="shared" si="1"/>
        <v/>
      </c>
      <c r="T49" s="41" t="str">
        <f t="shared" si="2"/>
        <v/>
      </c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41" t="str">
        <f t="shared" si="3"/>
        <v/>
      </c>
      <c r="AI49" s="32"/>
      <c r="AJ49" s="32"/>
      <c r="AK49" s="32"/>
      <c r="AL49" s="32"/>
      <c r="AM49" s="41" t="str">
        <f t="shared" si="4"/>
        <v/>
      </c>
      <c r="AN49" s="32"/>
      <c r="AO49" s="32"/>
      <c r="AP49" s="32"/>
      <c r="AQ49" s="32"/>
      <c r="AR49" s="32"/>
      <c r="AS49" s="32"/>
      <c r="AT49" s="32"/>
    </row>
    <row r="50" ht="15.75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8" t="str">
        <f t="shared" si="1"/>
        <v/>
      </c>
      <c r="T50" s="41" t="str">
        <f t="shared" si="2"/>
        <v/>
      </c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41" t="str">
        <f t="shared" si="3"/>
        <v/>
      </c>
      <c r="AI50" s="32"/>
      <c r="AJ50" s="32"/>
      <c r="AK50" s="32"/>
      <c r="AL50" s="32"/>
      <c r="AM50" s="41" t="str">
        <f t="shared" si="4"/>
        <v/>
      </c>
      <c r="AN50" s="32"/>
      <c r="AO50" s="32"/>
      <c r="AP50" s="32"/>
      <c r="AQ50" s="32"/>
      <c r="AR50" s="32"/>
      <c r="AS50" s="32"/>
      <c r="AT50" s="32"/>
    </row>
    <row r="51" ht="15.7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8" t="str">
        <f t="shared" si="1"/>
        <v/>
      </c>
      <c r="T51" s="41" t="str">
        <f t="shared" si="2"/>
        <v/>
      </c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41" t="str">
        <f t="shared" si="3"/>
        <v/>
      </c>
      <c r="AI51" s="32"/>
      <c r="AJ51" s="32"/>
      <c r="AK51" s="32"/>
      <c r="AL51" s="32"/>
      <c r="AM51" s="41" t="str">
        <f t="shared" si="4"/>
        <v/>
      </c>
      <c r="AN51" s="32"/>
      <c r="AO51" s="32"/>
      <c r="AP51" s="32"/>
      <c r="AQ51" s="32"/>
      <c r="AR51" s="32"/>
      <c r="AS51" s="32"/>
      <c r="AT51" s="32"/>
    </row>
    <row r="52" ht="15.75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8" t="str">
        <f t="shared" si="1"/>
        <v/>
      </c>
      <c r="T52" s="41" t="str">
        <f t="shared" si="2"/>
        <v/>
      </c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41" t="str">
        <f t="shared" si="3"/>
        <v/>
      </c>
      <c r="AI52" s="32"/>
      <c r="AJ52" s="32"/>
      <c r="AK52" s="32"/>
      <c r="AL52" s="32"/>
      <c r="AM52" s="41" t="str">
        <f t="shared" si="4"/>
        <v/>
      </c>
      <c r="AN52" s="32"/>
      <c r="AO52" s="32"/>
      <c r="AP52" s="32"/>
      <c r="AQ52" s="32"/>
      <c r="AR52" s="32"/>
      <c r="AS52" s="32"/>
      <c r="AT52" s="32"/>
    </row>
    <row r="53" ht="15.7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8" t="str">
        <f t="shared" si="1"/>
        <v/>
      </c>
      <c r="T53" s="41" t="str">
        <f t="shared" si="2"/>
        <v/>
      </c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41" t="str">
        <f t="shared" si="3"/>
        <v/>
      </c>
      <c r="AI53" s="32"/>
      <c r="AJ53" s="32"/>
      <c r="AK53" s="32"/>
      <c r="AL53" s="32"/>
      <c r="AM53" s="41" t="str">
        <f t="shared" si="4"/>
        <v/>
      </c>
      <c r="AN53" s="32"/>
      <c r="AO53" s="32"/>
      <c r="AP53" s="32"/>
      <c r="AQ53" s="32"/>
      <c r="AR53" s="32"/>
      <c r="AS53" s="32"/>
      <c r="AT53" s="32"/>
    </row>
    <row r="54" ht="15.7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8" t="str">
        <f t="shared" si="1"/>
        <v/>
      </c>
      <c r="T54" s="41" t="str">
        <f t="shared" si="2"/>
        <v/>
      </c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41" t="str">
        <f t="shared" si="3"/>
        <v/>
      </c>
      <c r="AI54" s="32"/>
      <c r="AJ54" s="32"/>
      <c r="AK54" s="32"/>
      <c r="AL54" s="32"/>
      <c r="AM54" s="41" t="str">
        <f t="shared" si="4"/>
        <v/>
      </c>
      <c r="AN54" s="32"/>
      <c r="AO54" s="32"/>
      <c r="AP54" s="32"/>
      <c r="AQ54" s="32"/>
      <c r="AR54" s="32"/>
      <c r="AS54" s="32"/>
      <c r="AT54" s="32"/>
    </row>
    <row r="55" ht="15.75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8" t="str">
        <f t="shared" si="1"/>
        <v/>
      </c>
      <c r="T55" s="41" t="str">
        <f t="shared" si="2"/>
        <v/>
      </c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41" t="str">
        <f t="shared" si="3"/>
        <v/>
      </c>
      <c r="AI55" s="32"/>
      <c r="AJ55" s="32"/>
      <c r="AK55" s="32"/>
      <c r="AL55" s="32"/>
      <c r="AM55" s="41" t="str">
        <f t="shared" si="4"/>
        <v/>
      </c>
      <c r="AN55" s="32"/>
      <c r="AO55" s="32"/>
      <c r="AP55" s="32"/>
      <c r="AQ55" s="32"/>
      <c r="AR55" s="32"/>
      <c r="AS55" s="32"/>
      <c r="AT55" s="32"/>
    </row>
    <row r="56" ht="15.7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8" t="str">
        <f t="shared" si="1"/>
        <v/>
      </c>
      <c r="T56" s="41" t="str">
        <f t="shared" si="2"/>
        <v/>
      </c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41" t="str">
        <f t="shared" si="3"/>
        <v/>
      </c>
      <c r="AI56" s="32"/>
      <c r="AJ56" s="32"/>
      <c r="AK56" s="32"/>
      <c r="AL56" s="32"/>
      <c r="AM56" s="41" t="str">
        <f t="shared" si="4"/>
        <v/>
      </c>
      <c r="AN56" s="32"/>
      <c r="AO56" s="32"/>
      <c r="AP56" s="32"/>
      <c r="AQ56" s="32"/>
      <c r="AR56" s="32"/>
      <c r="AS56" s="32"/>
      <c r="AT56" s="32"/>
    </row>
    <row r="57" ht="15.7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8" t="str">
        <f t="shared" si="1"/>
        <v/>
      </c>
      <c r="T57" s="41" t="str">
        <f t="shared" si="2"/>
        <v/>
      </c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41" t="str">
        <f t="shared" si="3"/>
        <v/>
      </c>
      <c r="AI57" s="32"/>
      <c r="AJ57" s="32"/>
      <c r="AK57" s="32"/>
      <c r="AL57" s="32"/>
      <c r="AM57" s="41" t="str">
        <f t="shared" si="4"/>
        <v/>
      </c>
      <c r="AN57" s="32"/>
      <c r="AO57" s="32"/>
      <c r="AP57" s="32"/>
      <c r="AQ57" s="32"/>
      <c r="AR57" s="32"/>
      <c r="AS57" s="32"/>
      <c r="AT57" s="32"/>
    </row>
    <row r="58" ht="15.7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8" t="str">
        <f t="shared" si="1"/>
        <v/>
      </c>
      <c r="T58" s="41" t="str">
        <f t="shared" si="2"/>
        <v/>
      </c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41" t="str">
        <f t="shared" si="3"/>
        <v/>
      </c>
      <c r="AI58" s="32"/>
      <c r="AJ58" s="32"/>
      <c r="AK58" s="32"/>
      <c r="AL58" s="32"/>
      <c r="AM58" s="41" t="str">
        <f t="shared" si="4"/>
        <v/>
      </c>
      <c r="AN58" s="32"/>
      <c r="AO58" s="32"/>
      <c r="AP58" s="32"/>
      <c r="AQ58" s="32"/>
      <c r="AR58" s="32"/>
      <c r="AS58" s="32"/>
      <c r="AT58" s="32"/>
    </row>
    <row r="59" ht="15.7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8" t="str">
        <f t="shared" si="1"/>
        <v/>
      </c>
      <c r="T59" s="41" t="str">
        <f t="shared" si="2"/>
        <v/>
      </c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41" t="str">
        <f t="shared" si="3"/>
        <v/>
      </c>
      <c r="AI59" s="32"/>
      <c r="AJ59" s="32"/>
      <c r="AK59" s="32"/>
      <c r="AL59" s="32"/>
      <c r="AM59" s="41" t="str">
        <f t="shared" si="4"/>
        <v/>
      </c>
      <c r="AN59" s="32"/>
      <c r="AO59" s="32"/>
      <c r="AP59" s="32"/>
      <c r="AQ59" s="32"/>
      <c r="AR59" s="32"/>
      <c r="AS59" s="32"/>
      <c r="AT59" s="32"/>
    </row>
    <row r="60" ht="15.7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8" t="str">
        <f t="shared" si="1"/>
        <v/>
      </c>
      <c r="T60" s="41" t="str">
        <f t="shared" si="2"/>
        <v/>
      </c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41" t="str">
        <f t="shared" si="3"/>
        <v/>
      </c>
      <c r="AI60" s="32"/>
      <c r="AJ60" s="32"/>
      <c r="AK60" s="32"/>
      <c r="AL60" s="32"/>
      <c r="AM60" s="41" t="str">
        <f t="shared" si="4"/>
        <v/>
      </c>
      <c r="AN60" s="32"/>
      <c r="AO60" s="32"/>
      <c r="AP60" s="32"/>
      <c r="AQ60" s="32"/>
      <c r="AR60" s="32"/>
      <c r="AS60" s="32"/>
      <c r="AT60" s="32"/>
    </row>
    <row r="61" ht="15.7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8" t="str">
        <f t="shared" si="1"/>
        <v/>
      </c>
      <c r="T61" s="41" t="str">
        <f t="shared" si="2"/>
        <v/>
      </c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41" t="str">
        <f t="shared" si="3"/>
        <v/>
      </c>
      <c r="AI61" s="32"/>
      <c r="AJ61" s="32"/>
      <c r="AK61" s="32"/>
      <c r="AL61" s="32"/>
      <c r="AM61" s="41" t="str">
        <f t="shared" si="4"/>
        <v/>
      </c>
      <c r="AN61" s="32"/>
      <c r="AO61" s="32"/>
      <c r="AP61" s="32"/>
      <c r="AQ61" s="32"/>
      <c r="AR61" s="32"/>
      <c r="AS61" s="32"/>
      <c r="AT61" s="32"/>
    </row>
    <row r="62" ht="15.7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8" t="str">
        <f t="shared" si="1"/>
        <v/>
      </c>
      <c r="T62" s="41" t="str">
        <f t="shared" si="2"/>
        <v/>
      </c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41" t="str">
        <f t="shared" si="3"/>
        <v/>
      </c>
      <c r="AI62" s="32"/>
      <c r="AJ62" s="32"/>
      <c r="AK62" s="32"/>
      <c r="AL62" s="32"/>
      <c r="AM62" s="41" t="str">
        <f t="shared" si="4"/>
        <v/>
      </c>
      <c r="AN62" s="32"/>
      <c r="AO62" s="32"/>
      <c r="AP62" s="32"/>
      <c r="AQ62" s="32"/>
      <c r="AR62" s="32"/>
      <c r="AS62" s="32"/>
      <c r="AT62" s="32"/>
    </row>
    <row r="63" ht="15.7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8" t="str">
        <f t="shared" si="1"/>
        <v/>
      </c>
      <c r="T63" s="41" t="str">
        <f t="shared" si="2"/>
        <v/>
      </c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41" t="str">
        <f t="shared" si="3"/>
        <v/>
      </c>
      <c r="AI63" s="32"/>
      <c r="AJ63" s="32"/>
      <c r="AK63" s="32"/>
      <c r="AL63" s="32"/>
      <c r="AM63" s="41" t="str">
        <f t="shared" si="4"/>
        <v/>
      </c>
      <c r="AN63" s="32"/>
      <c r="AO63" s="32"/>
      <c r="AP63" s="32"/>
      <c r="AQ63" s="32"/>
      <c r="AR63" s="32"/>
      <c r="AS63" s="32"/>
      <c r="AT63" s="32"/>
    </row>
    <row r="64" ht="15.7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8" t="str">
        <f t="shared" si="1"/>
        <v/>
      </c>
      <c r="T64" s="41" t="str">
        <f t="shared" si="2"/>
        <v/>
      </c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41" t="str">
        <f t="shared" si="3"/>
        <v/>
      </c>
      <c r="AI64" s="32"/>
      <c r="AJ64" s="32"/>
      <c r="AK64" s="32"/>
      <c r="AL64" s="32"/>
      <c r="AM64" s="41" t="str">
        <f t="shared" si="4"/>
        <v/>
      </c>
      <c r="AN64" s="32"/>
      <c r="AO64" s="32"/>
      <c r="AP64" s="32"/>
      <c r="AQ64" s="32"/>
      <c r="AR64" s="32"/>
      <c r="AS64" s="32"/>
      <c r="AT64" s="32"/>
    </row>
    <row r="65" ht="15.7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8" t="str">
        <f t="shared" si="1"/>
        <v/>
      </c>
      <c r="T65" s="41" t="str">
        <f t="shared" si="2"/>
        <v/>
      </c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41" t="str">
        <f t="shared" si="3"/>
        <v/>
      </c>
      <c r="AI65" s="32"/>
      <c r="AJ65" s="32"/>
      <c r="AK65" s="32"/>
      <c r="AL65" s="32"/>
      <c r="AM65" s="41" t="str">
        <f t="shared" si="4"/>
        <v/>
      </c>
      <c r="AN65" s="32"/>
      <c r="AO65" s="32"/>
      <c r="AP65" s="32"/>
      <c r="AQ65" s="32"/>
      <c r="AR65" s="32"/>
      <c r="AS65" s="32"/>
      <c r="AT65" s="32"/>
    </row>
    <row r="66" ht="15.7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8" t="str">
        <f t="shared" si="1"/>
        <v/>
      </c>
      <c r="T66" s="41" t="str">
        <f t="shared" si="2"/>
        <v/>
      </c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41" t="str">
        <f t="shared" si="3"/>
        <v/>
      </c>
      <c r="AI66" s="32"/>
      <c r="AJ66" s="32"/>
      <c r="AK66" s="32"/>
      <c r="AL66" s="32"/>
      <c r="AM66" s="41" t="str">
        <f t="shared" si="4"/>
        <v/>
      </c>
      <c r="AN66" s="32"/>
      <c r="AO66" s="32"/>
      <c r="AP66" s="32"/>
      <c r="AQ66" s="32"/>
      <c r="AR66" s="32"/>
      <c r="AS66" s="32"/>
      <c r="AT66" s="32"/>
    </row>
    <row r="67" ht="15.7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8" t="str">
        <f t="shared" si="1"/>
        <v/>
      </c>
      <c r="T67" s="41" t="str">
        <f t="shared" si="2"/>
        <v/>
      </c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41" t="str">
        <f t="shared" si="3"/>
        <v/>
      </c>
      <c r="AI67" s="32"/>
      <c r="AJ67" s="32"/>
      <c r="AK67" s="32"/>
      <c r="AL67" s="32"/>
      <c r="AM67" s="41" t="str">
        <f t="shared" si="4"/>
        <v/>
      </c>
      <c r="AN67" s="32"/>
      <c r="AO67" s="32"/>
      <c r="AP67" s="32"/>
      <c r="AQ67" s="32"/>
      <c r="AR67" s="32"/>
      <c r="AS67" s="32"/>
      <c r="AT67" s="32"/>
    </row>
    <row r="68" ht="15.7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8" t="str">
        <f t="shared" si="1"/>
        <v/>
      </c>
      <c r="T68" s="41" t="str">
        <f t="shared" si="2"/>
        <v/>
      </c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41" t="str">
        <f t="shared" si="3"/>
        <v/>
      </c>
      <c r="AI68" s="32"/>
      <c r="AJ68" s="32"/>
      <c r="AK68" s="32"/>
      <c r="AL68" s="32"/>
      <c r="AM68" s="41" t="str">
        <f t="shared" si="4"/>
        <v/>
      </c>
      <c r="AN68" s="32"/>
      <c r="AO68" s="32"/>
      <c r="AP68" s="32"/>
      <c r="AQ68" s="32"/>
      <c r="AR68" s="32"/>
      <c r="AS68" s="32"/>
      <c r="AT68" s="32"/>
    </row>
    <row r="69" ht="15.7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8" t="str">
        <f t="shared" si="1"/>
        <v/>
      </c>
      <c r="T69" s="41" t="str">
        <f t="shared" si="2"/>
        <v/>
      </c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41" t="str">
        <f t="shared" si="3"/>
        <v/>
      </c>
      <c r="AI69" s="32"/>
      <c r="AJ69" s="32"/>
      <c r="AK69" s="32"/>
      <c r="AL69" s="32"/>
      <c r="AM69" s="41" t="str">
        <f t="shared" si="4"/>
        <v/>
      </c>
      <c r="AN69" s="32"/>
      <c r="AO69" s="32"/>
      <c r="AP69" s="32"/>
      <c r="AQ69" s="32"/>
      <c r="AR69" s="32"/>
      <c r="AS69" s="32"/>
      <c r="AT69" s="32"/>
    </row>
    <row r="70" ht="15.7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8" t="str">
        <f t="shared" si="1"/>
        <v/>
      </c>
      <c r="T70" s="41" t="str">
        <f t="shared" si="2"/>
        <v/>
      </c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41" t="str">
        <f t="shared" si="3"/>
        <v/>
      </c>
      <c r="AI70" s="32"/>
      <c r="AJ70" s="32"/>
      <c r="AK70" s="32"/>
      <c r="AL70" s="32"/>
      <c r="AM70" s="41" t="str">
        <f t="shared" si="4"/>
        <v/>
      </c>
      <c r="AN70" s="32"/>
      <c r="AO70" s="32"/>
      <c r="AP70" s="32"/>
      <c r="AQ70" s="32"/>
      <c r="AR70" s="32"/>
      <c r="AS70" s="32"/>
      <c r="AT70" s="32"/>
    </row>
    <row r="71" ht="15.7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8" t="str">
        <f t="shared" si="1"/>
        <v/>
      </c>
      <c r="T71" s="41" t="str">
        <f t="shared" si="2"/>
        <v/>
      </c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41" t="str">
        <f t="shared" si="3"/>
        <v/>
      </c>
      <c r="AI71" s="32"/>
      <c r="AJ71" s="32"/>
      <c r="AK71" s="32"/>
      <c r="AL71" s="32"/>
      <c r="AM71" s="41" t="str">
        <f t="shared" si="4"/>
        <v/>
      </c>
      <c r="AN71" s="32"/>
      <c r="AO71" s="32"/>
      <c r="AP71" s="32"/>
      <c r="AQ71" s="32"/>
      <c r="AR71" s="32"/>
      <c r="AS71" s="32"/>
      <c r="AT71" s="32"/>
    </row>
    <row r="72" ht="15.7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8" t="str">
        <f t="shared" si="1"/>
        <v/>
      </c>
      <c r="T72" s="41" t="str">
        <f t="shared" si="2"/>
        <v/>
      </c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41" t="str">
        <f t="shared" si="3"/>
        <v/>
      </c>
      <c r="AI72" s="32"/>
      <c r="AJ72" s="32"/>
      <c r="AK72" s="32"/>
      <c r="AL72" s="32"/>
      <c r="AM72" s="41" t="str">
        <f t="shared" si="4"/>
        <v/>
      </c>
      <c r="AN72" s="32"/>
      <c r="AO72" s="32"/>
      <c r="AP72" s="32"/>
      <c r="AQ72" s="32"/>
      <c r="AR72" s="32"/>
      <c r="AS72" s="32"/>
      <c r="AT72" s="32"/>
    </row>
    <row r="73" ht="15.7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8" t="str">
        <f t="shared" si="1"/>
        <v/>
      </c>
      <c r="T73" s="41" t="str">
        <f t="shared" si="2"/>
        <v/>
      </c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41" t="str">
        <f t="shared" si="3"/>
        <v/>
      </c>
      <c r="AI73" s="32"/>
      <c r="AJ73" s="32"/>
      <c r="AK73" s="32"/>
      <c r="AL73" s="32"/>
      <c r="AM73" s="41" t="str">
        <f t="shared" si="4"/>
        <v/>
      </c>
      <c r="AN73" s="32"/>
      <c r="AO73" s="32"/>
      <c r="AP73" s="32"/>
      <c r="AQ73" s="32"/>
      <c r="AR73" s="32"/>
      <c r="AS73" s="32"/>
      <c r="AT73" s="32"/>
    </row>
    <row r="74" ht="15.7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8" t="str">
        <f t="shared" si="1"/>
        <v/>
      </c>
      <c r="T74" s="41" t="str">
        <f t="shared" si="2"/>
        <v/>
      </c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41" t="str">
        <f t="shared" si="3"/>
        <v/>
      </c>
      <c r="AI74" s="32"/>
      <c r="AJ74" s="32"/>
      <c r="AK74" s="32"/>
      <c r="AL74" s="32"/>
      <c r="AM74" s="41" t="str">
        <f t="shared" si="4"/>
        <v/>
      </c>
      <c r="AN74" s="32"/>
      <c r="AO74" s="32"/>
      <c r="AP74" s="32"/>
      <c r="AQ74" s="32"/>
      <c r="AR74" s="32"/>
      <c r="AS74" s="32"/>
      <c r="AT74" s="32"/>
    </row>
    <row r="75" ht="15.7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8" t="str">
        <f t="shared" si="1"/>
        <v/>
      </c>
      <c r="T75" s="41" t="str">
        <f t="shared" si="2"/>
        <v/>
      </c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41" t="str">
        <f t="shared" si="3"/>
        <v/>
      </c>
      <c r="AI75" s="32"/>
      <c r="AJ75" s="32"/>
      <c r="AK75" s="32"/>
      <c r="AL75" s="32"/>
      <c r="AM75" s="41" t="str">
        <f t="shared" si="4"/>
        <v/>
      </c>
      <c r="AN75" s="32"/>
      <c r="AO75" s="32"/>
      <c r="AP75" s="32"/>
      <c r="AQ75" s="32"/>
      <c r="AR75" s="32"/>
      <c r="AS75" s="32"/>
      <c r="AT75" s="32"/>
    </row>
    <row r="76" ht="15.7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8" t="str">
        <f t="shared" si="1"/>
        <v/>
      </c>
      <c r="T76" s="41" t="str">
        <f t="shared" si="2"/>
        <v/>
      </c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41" t="str">
        <f t="shared" si="3"/>
        <v/>
      </c>
      <c r="AI76" s="32"/>
      <c r="AJ76" s="32"/>
      <c r="AK76" s="32"/>
      <c r="AL76" s="32"/>
      <c r="AM76" s="41" t="str">
        <f t="shared" si="4"/>
        <v/>
      </c>
      <c r="AN76" s="32"/>
      <c r="AO76" s="32"/>
      <c r="AP76" s="32"/>
      <c r="AQ76" s="32"/>
      <c r="AR76" s="32"/>
      <c r="AS76" s="32"/>
      <c r="AT76" s="32"/>
    </row>
    <row r="77" ht="15.7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8" t="str">
        <f t="shared" si="1"/>
        <v/>
      </c>
      <c r="T77" s="41" t="str">
        <f t="shared" si="2"/>
        <v/>
      </c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41" t="str">
        <f t="shared" si="3"/>
        <v/>
      </c>
      <c r="AI77" s="32"/>
      <c r="AJ77" s="32"/>
      <c r="AK77" s="32"/>
      <c r="AL77" s="32"/>
      <c r="AM77" s="41" t="str">
        <f t="shared" si="4"/>
        <v/>
      </c>
      <c r="AN77" s="32"/>
      <c r="AO77" s="32"/>
      <c r="AP77" s="32"/>
      <c r="AQ77" s="32"/>
      <c r="AR77" s="32"/>
      <c r="AS77" s="32"/>
      <c r="AT77" s="32"/>
    </row>
    <row r="78" ht="15.7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8" t="str">
        <f t="shared" si="1"/>
        <v/>
      </c>
      <c r="T78" s="41" t="str">
        <f t="shared" si="2"/>
        <v/>
      </c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41" t="str">
        <f t="shared" si="3"/>
        <v/>
      </c>
      <c r="AI78" s="32"/>
      <c r="AJ78" s="32"/>
      <c r="AK78" s="32"/>
      <c r="AL78" s="32"/>
      <c r="AM78" s="41" t="str">
        <f t="shared" si="4"/>
        <v/>
      </c>
      <c r="AN78" s="32"/>
      <c r="AO78" s="32"/>
      <c r="AP78" s="32"/>
      <c r="AQ78" s="32"/>
      <c r="AR78" s="32"/>
      <c r="AS78" s="32"/>
      <c r="AT78" s="32"/>
    </row>
    <row r="79" ht="15.7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8" t="str">
        <f t="shared" si="1"/>
        <v/>
      </c>
      <c r="T79" s="41" t="str">
        <f t="shared" si="2"/>
        <v/>
      </c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41" t="str">
        <f t="shared" si="3"/>
        <v/>
      </c>
      <c r="AI79" s="32"/>
      <c r="AJ79" s="32"/>
      <c r="AK79" s="32"/>
      <c r="AL79" s="32"/>
      <c r="AM79" s="41" t="str">
        <f t="shared" si="4"/>
        <v/>
      </c>
      <c r="AN79" s="32"/>
      <c r="AO79" s="32"/>
      <c r="AP79" s="32"/>
      <c r="AQ79" s="32"/>
      <c r="AR79" s="32"/>
      <c r="AS79" s="32"/>
      <c r="AT79" s="32"/>
    </row>
    <row r="80" ht="15.7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8" t="str">
        <f t="shared" si="1"/>
        <v/>
      </c>
      <c r="T80" s="41" t="str">
        <f t="shared" si="2"/>
        <v/>
      </c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41" t="str">
        <f t="shared" si="3"/>
        <v/>
      </c>
      <c r="AI80" s="32"/>
      <c r="AJ80" s="32"/>
      <c r="AK80" s="32"/>
      <c r="AL80" s="32"/>
      <c r="AM80" s="41" t="str">
        <f t="shared" si="4"/>
        <v/>
      </c>
      <c r="AN80" s="32"/>
      <c r="AO80" s="32"/>
      <c r="AP80" s="32"/>
      <c r="AQ80" s="32"/>
      <c r="AR80" s="32"/>
      <c r="AS80" s="32"/>
      <c r="AT80" s="32"/>
    </row>
    <row r="81" ht="15.7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8" t="str">
        <f t="shared" si="1"/>
        <v/>
      </c>
      <c r="T81" s="41" t="str">
        <f t="shared" si="2"/>
        <v/>
      </c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41" t="str">
        <f t="shared" si="3"/>
        <v/>
      </c>
      <c r="AI81" s="32"/>
      <c r="AJ81" s="32"/>
      <c r="AK81" s="32"/>
      <c r="AL81" s="32"/>
      <c r="AM81" s="41" t="str">
        <f t="shared" si="4"/>
        <v/>
      </c>
      <c r="AN81" s="32"/>
      <c r="AO81" s="32"/>
      <c r="AP81" s="32"/>
      <c r="AQ81" s="32"/>
      <c r="AR81" s="32"/>
      <c r="AS81" s="32"/>
      <c r="AT81" s="32"/>
    </row>
    <row r="82" ht="15.7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8" t="str">
        <f t="shared" si="1"/>
        <v/>
      </c>
      <c r="T82" s="41" t="str">
        <f t="shared" si="2"/>
        <v/>
      </c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41" t="str">
        <f t="shared" si="3"/>
        <v/>
      </c>
      <c r="AI82" s="32"/>
      <c r="AJ82" s="32"/>
      <c r="AK82" s="32"/>
      <c r="AL82" s="32"/>
      <c r="AM82" s="41" t="str">
        <f t="shared" si="4"/>
        <v/>
      </c>
      <c r="AN82" s="32"/>
      <c r="AO82" s="32"/>
      <c r="AP82" s="32"/>
      <c r="AQ82" s="32"/>
      <c r="AR82" s="32"/>
      <c r="AS82" s="32"/>
      <c r="AT82" s="32"/>
    </row>
    <row r="83" ht="15.7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8" t="str">
        <f t="shared" si="1"/>
        <v/>
      </c>
      <c r="T83" s="41" t="str">
        <f t="shared" si="2"/>
        <v/>
      </c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41" t="str">
        <f t="shared" si="3"/>
        <v/>
      </c>
      <c r="AI83" s="32"/>
      <c r="AJ83" s="32"/>
      <c r="AK83" s="32"/>
      <c r="AL83" s="32"/>
      <c r="AM83" s="41" t="str">
        <f t="shared" si="4"/>
        <v/>
      </c>
      <c r="AN83" s="32"/>
      <c r="AO83" s="32"/>
      <c r="AP83" s="32"/>
      <c r="AQ83" s="32"/>
      <c r="AR83" s="32"/>
      <c r="AS83" s="32"/>
      <c r="AT83" s="32"/>
    </row>
    <row r="84" ht="15.7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8" t="str">
        <f t="shared" si="1"/>
        <v/>
      </c>
      <c r="T84" s="41" t="str">
        <f t="shared" si="2"/>
        <v/>
      </c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41" t="str">
        <f t="shared" si="3"/>
        <v/>
      </c>
      <c r="AI84" s="32"/>
      <c r="AJ84" s="32"/>
      <c r="AK84" s="32"/>
      <c r="AL84" s="32"/>
      <c r="AM84" s="41" t="str">
        <f t="shared" si="4"/>
        <v/>
      </c>
      <c r="AN84" s="32"/>
      <c r="AO84" s="32"/>
      <c r="AP84" s="32"/>
      <c r="AQ84" s="32"/>
      <c r="AR84" s="32"/>
      <c r="AS84" s="32"/>
      <c r="AT84" s="32"/>
    </row>
    <row r="85" ht="15.7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8" t="str">
        <f t="shared" si="1"/>
        <v/>
      </c>
      <c r="T85" s="41" t="str">
        <f t="shared" si="2"/>
        <v/>
      </c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41" t="str">
        <f t="shared" si="3"/>
        <v/>
      </c>
      <c r="AI85" s="32"/>
      <c r="AJ85" s="32"/>
      <c r="AK85" s="32"/>
      <c r="AL85" s="32"/>
      <c r="AM85" s="41" t="str">
        <f t="shared" si="4"/>
        <v/>
      </c>
      <c r="AN85" s="32"/>
      <c r="AO85" s="32"/>
      <c r="AP85" s="32"/>
      <c r="AQ85" s="32"/>
      <c r="AR85" s="32"/>
      <c r="AS85" s="32"/>
      <c r="AT85" s="32"/>
    </row>
    <row r="86" ht="15.7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8" t="str">
        <f t="shared" si="1"/>
        <v/>
      </c>
      <c r="T86" s="41" t="str">
        <f t="shared" si="2"/>
        <v/>
      </c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41" t="str">
        <f t="shared" si="3"/>
        <v/>
      </c>
      <c r="AI86" s="32"/>
      <c r="AJ86" s="32"/>
      <c r="AK86" s="32"/>
      <c r="AL86" s="32"/>
      <c r="AM86" s="41" t="str">
        <f t="shared" si="4"/>
        <v/>
      </c>
      <c r="AN86" s="32"/>
      <c r="AO86" s="32"/>
      <c r="AP86" s="32"/>
      <c r="AQ86" s="32"/>
      <c r="AR86" s="32"/>
      <c r="AS86" s="32"/>
      <c r="AT86" s="32"/>
    </row>
    <row r="87" ht="15.7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8" t="str">
        <f t="shared" si="1"/>
        <v/>
      </c>
      <c r="T87" s="41" t="str">
        <f t="shared" si="2"/>
        <v/>
      </c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41" t="str">
        <f t="shared" si="3"/>
        <v/>
      </c>
      <c r="AI87" s="32"/>
      <c r="AJ87" s="32"/>
      <c r="AK87" s="32"/>
      <c r="AL87" s="32"/>
      <c r="AM87" s="41" t="str">
        <f t="shared" si="4"/>
        <v/>
      </c>
      <c r="AN87" s="32"/>
      <c r="AO87" s="32"/>
      <c r="AP87" s="32"/>
      <c r="AQ87" s="32"/>
      <c r="AR87" s="32"/>
      <c r="AS87" s="32"/>
      <c r="AT87" s="32"/>
    </row>
    <row r="88" ht="15.7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8" t="str">
        <f t="shared" si="1"/>
        <v/>
      </c>
      <c r="T88" s="41" t="str">
        <f t="shared" si="2"/>
        <v/>
      </c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41" t="str">
        <f t="shared" si="3"/>
        <v/>
      </c>
      <c r="AI88" s="32"/>
      <c r="AJ88" s="32"/>
      <c r="AK88" s="32"/>
      <c r="AL88" s="32"/>
      <c r="AM88" s="41" t="str">
        <f t="shared" si="4"/>
        <v/>
      </c>
      <c r="AN88" s="32"/>
      <c r="AO88" s="32"/>
      <c r="AP88" s="32"/>
      <c r="AQ88" s="32"/>
      <c r="AR88" s="32"/>
      <c r="AS88" s="32"/>
      <c r="AT88" s="32"/>
    </row>
    <row r="89" ht="15.7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8" t="str">
        <f t="shared" si="1"/>
        <v/>
      </c>
      <c r="T89" s="41" t="str">
        <f t="shared" si="2"/>
        <v/>
      </c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41" t="str">
        <f t="shared" si="3"/>
        <v/>
      </c>
      <c r="AI89" s="32"/>
      <c r="AJ89" s="32"/>
      <c r="AK89" s="32"/>
      <c r="AL89" s="32"/>
      <c r="AM89" s="41" t="str">
        <f t="shared" si="4"/>
        <v/>
      </c>
      <c r="AN89" s="32"/>
      <c r="AO89" s="32"/>
      <c r="AP89" s="32"/>
      <c r="AQ89" s="32"/>
      <c r="AR89" s="32"/>
      <c r="AS89" s="32"/>
      <c r="AT89" s="32"/>
    </row>
    <row r="90" ht="15.7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8" t="str">
        <f t="shared" si="1"/>
        <v/>
      </c>
      <c r="T90" s="41" t="str">
        <f t="shared" si="2"/>
        <v/>
      </c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41" t="str">
        <f t="shared" si="3"/>
        <v/>
      </c>
      <c r="AI90" s="32"/>
      <c r="AJ90" s="32"/>
      <c r="AK90" s="32"/>
      <c r="AL90" s="32"/>
      <c r="AM90" s="41" t="str">
        <f t="shared" si="4"/>
        <v/>
      </c>
      <c r="AN90" s="32"/>
      <c r="AO90" s="32"/>
      <c r="AP90" s="32"/>
      <c r="AQ90" s="32"/>
      <c r="AR90" s="32"/>
      <c r="AS90" s="32"/>
      <c r="AT90" s="32"/>
    </row>
    <row r="91" ht="15.7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8" t="str">
        <f t="shared" si="1"/>
        <v/>
      </c>
      <c r="T91" s="41" t="str">
        <f t="shared" si="2"/>
        <v/>
      </c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41" t="str">
        <f t="shared" si="3"/>
        <v/>
      </c>
      <c r="AI91" s="32"/>
      <c r="AJ91" s="32"/>
      <c r="AK91" s="32"/>
      <c r="AL91" s="32"/>
      <c r="AM91" s="41" t="str">
        <f t="shared" si="4"/>
        <v/>
      </c>
      <c r="AN91" s="32"/>
      <c r="AO91" s="32"/>
      <c r="AP91" s="32"/>
      <c r="AQ91" s="32"/>
      <c r="AR91" s="32"/>
      <c r="AS91" s="32"/>
      <c r="AT91" s="32"/>
    </row>
    <row r="92" ht="15.7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8" t="str">
        <f t="shared" si="1"/>
        <v/>
      </c>
      <c r="T92" s="41" t="str">
        <f t="shared" si="2"/>
        <v/>
      </c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41" t="str">
        <f t="shared" si="3"/>
        <v/>
      </c>
      <c r="AI92" s="32"/>
      <c r="AJ92" s="32"/>
      <c r="AK92" s="32"/>
      <c r="AL92" s="32"/>
      <c r="AM92" s="41" t="str">
        <f t="shared" si="4"/>
        <v/>
      </c>
      <c r="AN92" s="32"/>
      <c r="AO92" s="32"/>
      <c r="AP92" s="32"/>
      <c r="AQ92" s="32"/>
      <c r="AR92" s="32"/>
      <c r="AS92" s="32"/>
      <c r="AT92" s="32"/>
    </row>
    <row r="93" ht="15.7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8" t="str">
        <f t="shared" si="1"/>
        <v/>
      </c>
      <c r="T93" s="41" t="str">
        <f t="shared" si="2"/>
        <v/>
      </c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41" t="str">
        <f t="shared" si="3"/>
        <v/>
      </c>
      <c r="AI93" s="32"/>
      <c r="AJ93" s="32"/>
      <c r="AK93" s="32"/>
      <c r="AL93" s="32"/>
      <c r="AM93" s="41" t="str">
        <f t="shared" si="4"/>
        <v/>
      </c>
      <c r="AN93" s="32"/>
      <c r="AO93" s="32"/>
      <c r="AP93" s="32"/>
      <c r="AQ93" s="32"/>
      <c r="AR93" s="32"/>
      <c r="AS93" s="32"/>
      <c r="AT93" s="32"/>
    </row>
    <row r="94" ht="15.7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8" t="str">
        <f t="shared" si="1"/>
        <v/>
      </c>
      <c r="T94" s="41" t="str">
        <f t="shared" si="2"/>
        <v/>
      </c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41" t="str">
        <f t="shared" si="3"/>
        <v/>
      </c>
      <c r="AI94" s="32"/>
      <c r="AJ94" s="32"/>
      <c r="AK94" s="32"/>
      <c r="AL94" s="32"/>
      <c r="AM94" s="41" t="str">
        <f t="shared" si="4"/>
        <v/>
      </c>
      <c r="AN94" s="32"/>
      <c r="AO94" s="32"/>
      <c r="AP94" s="32"/>
      <c r="AQ94" s="32"/>
      <c r="AR94" s="32"/>
      <c r="AS94" s="32"/>
      <c r="AT94" s="32"/>
    </row>
    <row r="95" ht="15.7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8" t="str">
        <f t="shared" si="1"/>
        <v/>
      </c>
      <c r="T95" s="41" t="str">
        <f t="shared" si="2"/>
        <v/>
      </c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41" t="str">
        <f t="shared" si="3"/>
        <v/>
      </c>
      <c r="AI95" s="32"/>
      <c r="AJ95" s="32"/>
      <c r="AK95" s="32"/>
      <c r="AL95" s="32"/>
      <c r="AM95" s="41" t="str">
        <f t="shared" si="4"/>
        <v/>
      </c>
      <c r="AN95" s="32"/>
      <c r="AO95" s="32"/>
      <c r="AP95" s="32"/>
      <c r="AQ95" s="32"/>
      <c r="AR95" s="32"/>
      <c r="AS95" s="32"/>
      <c r="AT95" s="32"/>
    </row>
    <row r="96" ht="15.7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8" t="str">
        <f t="shared" si="1"/>
        <v/>
      </c>
      <c r="T96" s="41" t="str">
        <f t="shared" si="2"/>
        <v/>
      </c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41" t="str">
        <f t="shared" si="3"/>
        <v/>
      </c>
      <c r="AI96" s="32"/>
      <c r="AJ96" s="32"/>
      <c r="AK96" s="32"/>
      <c r="AL96" s="32"/>
      <c r="AM96" s="41" t="str">
        <f t="shared" si="4"/>
        <v/>
      </c>
      <c r="AN96" s="32"/>
      <c r="AO96" s="32"/>
      <c r="AP96" s="32"/>
      <c r="AQ96" s="32"/>
      <c r="AR96" s="32"/>
      <c r="AS96" s="32"/>
      <c r="AT96" s="32"/>
    </row>
    <row r="97" ht="15.7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8" t="str">
        <f t="shared" si="1"/>
        <v/>
      </c>
      <c r="T97" s="41" t="str">
        <f t="shared" si="2"/>
        <v/>
      </c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41" t="str">
        <f t="shared" si="3"/>
        <v/>
      </c>
      <c r="AI97" s="32"/>
      <c r="AJ97" s="32"/>
      <c r="AK97" s="32"/>
      <c r="AL97" s="32"/>
      <c r="AM97" s="41" t="str">
        <f t="shared" si="4"/>
        <v/>
      </c>
      <c r="AN97" s="32"/>
      <c r="AO97" s="32"/>
      <c r="AP97" s="32"/>
      <c r="AQ97" s="32"/>
      <c r="AR97" s="32"/>
      <c r="AS97" s="32"/>
      <c r="AT97" s="32"/>
    </row>
    <row r="98" ht="15.7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8" t="str">
        <f t="shared" si="1"/>
        <v/>
      </c>
      <c r="T98" s="41" t="str">
        <f t="shared" si="2"/>
        <v/>
      </c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41" t="str">
        <f t="shared" si="3"/>
        <v/>
      </c>
      <c r="AI98" s="32"/>
      <c r="AJ98" s="32"/>
      <c r="AK98" s="32"/>
      <c r="AL98" s="32"/>
      <c r="AM98" s="41" t="str">
        <f t="shared" si="4"/>
        <v/>
      </c>
      <c r="AN98" s="32"/>
      <c r="AO98" s="32"/>
      <c r="AP98" s="32"/>
      <c r="AQ98" s="32"/>
      <c r="AR98" s="32"/>
      <c r="AS98" s="32"/>
      <c r="AT98" s="32"/>
    </row>
    <row r="99" ht="15.7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8" t="str">
        <f t="shared" si="1"/>
        <v/>
      </c>
      <c r="T99" s="41" t="str">
        <f t="shared" si="2"/>
        <v/>
      </c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41" t="str">
        <f t="shared" si="3"/>
        <v/>
      </c>
      <c r="AI99" s="32"/>
      <c r="AJ99" s="32"/>
      <c r="AK99" s="32"/>
      <c r="AL99" s="32"/>
      <c r="AM99" s="41" t="str">
        <f t="shared" si="4"/>
        <v/>
      </c>
      <c r="AN99" s="32"/>
      <c r="AO99" s="32"/>
      <c r="AP99" s="32"/>
      <c r="AQ99" s="32"/>
      <c r="AR99" s="32"/>
      <c r="AS99" s="32"/>
      <c r="AT99" s="32"/>
    </row>
    <row r="100" ht="15.7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8" t="str">
        <f t="shared" si="1"/>
        <v/>
      </c>
      <c r="T100" s="41" t="str">
        <f t="shared" si="2"/>
        <v/>
      </c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41" t="str">
        <f t="shared" si="3"/>
        <v/>
      </c>
      <c r="AI100" s="32"/>
      <c r="AJ100" s="32"/>
      <c r="AK100" s="32"/>
      <c r="AL100" s="32"/>
      <c r="AM100" s="41" t="str">
        <f t="shared" si="4"/>
        <v/>
      </c>
      <c r="AN100" s="32"/>
      <c r="AO100" s="32"/>
      <c r="AP100" s="32"/>
      <c r="AQ100" s="32"/>
      <c r="AR100" s="32"/>
      <c r="AS100" s="32"/>
      <c r="AT100" s="32"/>
    </row>
    <row r="101" ht="15.75" customHeight="1">
      <c r="B101" s="32"/>
    </row>
    <row r="102" ht="15.75" customHeight="1">
      <c r="B102" s="32"/>
    </row>
    <row r="103" ht="15.75" customHeight="1">
      <c r="B103" s="32"/>
    </row>
    <row r="104" ht="15.75" customHeight="1">
      <c r="B104" s="32"/>
    </row>
    <row r="105" ht="15.75" customHeight="1">
      <c r="B105" s="32"/>
    </row>
    <row r="106" ht="15.75" customHeight="1">
      <c r="B106" s="32"/>
    </row>
    <row r="107" ht="15.75" customHeight="1">
      <c r="B107" s="32"/>
    </row>
    <row r="108" ht="15.75" customHeight="1">
      <c r="B108" s="32"/>
    </row>
    <row r="109" ht="15.75" customHeight="1">
      <c r="B109" s="32"/>
    </row>
    <row r="110" ht="15.75" customHeight="1">
      <c r="B110" s="32"/>
    </row>
    <row r="111" ht="15.75" customHeight="1">
      <c r="B111" s="32"/>
    </row>
    <row r="112" ht="15.75" customHeight="1">
      <c r="B112" s="32"/>
    </row>
    <row r="113" ht="15.75" customHeight="1">
      <c r="B113" s="32"/>
    </row>
    <row r="114" ht="15.75" customHeight="1">
      <c r="B114" s="32"/>
    </row>
    <row r="115" ht="15.75" customHeight="1">
      <c r="B115" s="32"/>
    </row>
    <row r="116" ht="15.75" customHeight="1">
      <c r="B116" s="32"/>
    </row>
    <row r="117" ht="15.75" customHeight="1">
      <c r="B117" s="32"/>
    </row>
    <row r="118" ht="15.75" customHeight="1">
      <c r="B118" s="32"/>
    </row>
    <row r="119" ht="15.75" customHeight="1">
      <c r="B119" s="32"/>
    </row>
    <row r="120" ht="15.75" customHeight="1">
      <c r="B120" s="32"/>
    </row>
    <row r="121" ht="15.75" customHeight="1">
      <c r="B121" s="32"/>
    </row>
    <row r="122" ht="15.75" customHeight="1">
      <c r="B122" s="32"/>
    </row>
    <row r="123" ht="15.75" customHeight="1">
      <c r="B123" s="32"/>
    </row>
    <row r="124" ht="15.75" customHeight="1">
      <c r="B124" s="32"/>
    </row>
    <row r="125" ht="15.75" customHeight="1">
      <c r="B125" s="32"/>
    </row>
    <row r="126" ht="15.75" customHeight="1">
      <c r="B126" s="32"/>
    </row>
    <row r="127" ht="15.75" customHeight="1">
      <c r="B127" s="32"/>
    </row>
    <row r="128" ht="15.75" customHeight="1">
      <c r="B128" s="32"/>
    </row>
    <row r="129" ht="15.75" customHeight="1">
      <c r="B129" s="32"/>
    </row>
    <row r="130" ht="15.75" customHeight="1">
      <c r="B130" s="32"/>
    </row>
    <row r="131" ht="15.75" customHeight="1">
      <c r="B131" s="32"/>
    </row>
    <row r="132" ht="15.75" customHeight="1">
      <c r="B132" s="32"/>
    </row>
    <row r="133" ht="15.75" customHeight="1">
      <c r="B133" s="32"/>
    </row>
    <row r="134" ht="15.75" customHeight="1">
      <c r="B134" s="32"/>
    </row>
    <row r="135" ht="15.75" customHeight="1">
      <c r="B135" s="32"/>
    </row>
    <row r="136" ht="15.75" customHeight="1">
      <c r="B136" s="32"/>
    </row>
    <row r="137" ht="15.75" customHeight="1">
      <c r="B137" s="32"/>
    </row>
    <row r="138" ht="15.75" customHeight="1">
      <c r="B138" s="32"/>
    </row>
    <row r="139" ht="15.75" customHeight="1">
      <c r="B139" s="32"/>
    </row>
    <row r="140" ht="15.75" customHeight="1">
      <c r="B140" s="32"/>
    </row>
    <row r="141" ht="15.75" customHeight="1">
      <c r="B141" s="32"/>
    </row>
    <row r="142" ht="15.75" customHeight="1">
      <c r="B142" s="32"/>
    </row>
    <row r="143" ht="15.75" customHeight="1">
      <c r="B143" s="32"/>
    </row>
    <row r="144" ht="15.75" customHeight="1">
      <c r="B144" s="32"/>
    </row>
    <row r="145" ht="15.75" customHeight="1">
      <c r="B145" s="32"/>
    </row>
    <row r="146" ht="15.75" customHeight="1">
      <c r="B146" s="32"/>
    </row>
    <row r="147" ht="15.75" customHeight="1">
      <c r="B147" s="32"/>
    </row>
    <row r="148" ht="15.75" customHeight="1">
      <c r="B148" s="32"/>
    </row>
    <row r="149" ht="15.75" customHeight="1">
      <c r="B149" s="32"/>
    </row>
    <row r="150" ht="15.75" customHeight="1">
      <c r="B150" s="32"/>
    </row>
    <row r="151" ht="15.75" customHeight="1">
      <c r="B151" s="32"/>
    </row>
    <row r="152" ht="15.75" customHeight="1">
      <c r="B152" s="32"/>
    </row>
    <row r="153" ht="15.75" customHeight="1">
      <c r="B153" s="32"/>
    </row>
    <row r="154" ht="15.75" customHeight="1">
      <c r="B154" s="32"/>
    </row>
    <row r="155" ht="15.75" customHeight="1">
      <c r="B155" s="32"/>
    </row>
    <row r="156" ht="15.75" customHeight="1">
      <c r="B156" s="32"/>
    </row>
    <row r="157" ht="15.75" customHeight="1">
      <c r="B157" s="32"/>
    </row>
    <row r="158" ht="15.75" customHeight="1">
      <c r="B158" s="32"/>
    </row>
    <row r="159" ht="15.75" customHeight="1">
      <c r="B159" s="32"/>
    </row>
    <row r="160" ht="15.75" customHeight="1">
      <c r="B160" s="32"/>
    </row>
    <row r="161" ht="15.75" customHeight="1">
      <c r="B161" s="32"/>
    </row>
    <row r="162" ht="15.75" customHeight="1">
      <c r="B162" s="32"/>
    </row>
    <row r="163" ht="15.75" customHeight="1">
      <c r="B163" s="32"/>
    </row>
    <row r="164" ht="15.75" customHeight="1">
      <c r="B164" s="32"/>
    </row>
    <row r="165" ht="15.75" customHeight="1">
      <c r="B165" s="32"/>
    </row>
    <row r="166" ht="15.75" customHeight="1">
      <c r="B166" s="32"/>
    </row>
    <row r="167" ht="15.75" customHeight="1">
      <c r="B167" s="32"/>
    </row>
    <row r="168" ht="15.75" customHeight="1">
      <c r="B168" s="32"/>
    </row>
    <row r="169" ht="15.75" customHeight="1">
      <c r="B169" s="32"/>
    </row>
    <row r="170" ht="15.75" customHeight="1">
      <c r="B170" s="32"/>
    </row>
    <row r="171" ht="15.75" customHeight="1">
      <c r="B171" s="32"/>
    </row>
    <row r="172" ht="15.75" customHeight="1">
      <c r="B172" s="32"/>
    </row>
    <row r="173" ht="15.75" customHeight="1">
      <c r="B173" s="32"/>
    </row>
    <row r="174" ht="15.75" customHeight="1">
      <c r="B174" s="32"/>
    </row>
    <row r="175" ht="15.75" customHeight="1">
      <c r="B175" s="32"/>
    </row>
    <row r="176" ht="15.75" customHeight="1">
      <c r="B176" s="32"/>
    </row>
    <row r="177" ht="15.75" customHeight="1">
      <c r="B177" s="32"/>
    </row>
    <row r="178" ht="15.75" customHeight="1">
      <c r="B178" s="32"/>
    </row>
    <row r="179" ht="15.75" customHeight="1">
      <c r="B179" s="32"/>
    </row>
    <row r="180" ht="15.75" customHeight="1">
      <c r="B180" s="32"/>
    </row>
    <row r="181" ht="15.75" customHeight="1">
      <c r="B181" s="32"/>
    </row>
    <row r="182" ht="15.75" customHeight="1">
      <c r="B182" s="32"/>
    </row>
    <row r="183" ht="15.75" customHeight="1">
      <c r="B183" s="32"/>
    </row>
    <row r="184" ht="15.75" customHeight="1">
      <c r="B184" s="32"/>
    </row>
    <row r="185" ht="15.75" customHeight="1">
      <c r="B185" s="32"/>
    </row>
    <row r="186" ht="15.75" customHeight="1">
      <c r="B186" s="32"/>
    </row>
    <row r="187" ht="15.75" customHeight="1">
      <c r="B187" s="32"/>
    </row>
    <row r="188" ht="15.75" customHeight="1">
      <c r="B188" s="32"/>
    </row>
    <row r="189" ht="15.75" customHeight="1">
      <c r="B189" s="32"/>
    </row>
    <row r="190" ht="15.75" customHeight="1">
      <c r="B190" s="32"/>
    </row>
    <row r="191" ht="15.75" customHeight="1">
      <c r="B191" s="32"/>
    </row>
    <row r="192" ht="15.75" customHeight="1">
      <c r="B192" s="32"/>
    </row>
    <row r="193" ht="15.75" customHeight="1">
      <c r="B193" s="32"/>
    </row>
    <row r="194" ht="15.75" customHeight="1">
      <c r="B194" s="32"/>
    </row>
    <row r="195" ht="15.75" customHeight="1">
      <c r="B195" s="32"/>
    </row>
    <row r="196" ht="15.75" customHeight="1">
      <c r="B196" s="32"/>
    </row>
    <row r="197" ht="15.75" customHeight="1">
      <c r="B197" s="32"/>
    </row>
    <row r="198" ht="15.75" customHeight="1">
      <c r="B198" s="32"/>
    </row>
    <row r="199" ht="15.75" customHeight="1">
      <c r="B199" s="32"/>
    </row>
    <row r="200" ht="15.75" customHeight="1">
      <c r="B200" s="32"/>
    </row>
    <row r="201" ht="15.75" customHeight="1">
      <c r="B201" s="32"/>
    </row>
    <row r="202" ht="15.75" customHeight="1">
      <c r="B202" s="32"/>
    </row>
    <row r="203" ht="15.75" customHeight="1">
      <c r="B203" s="32"/>
    </row>
    <row r="204" ht="15.75" customHeight="1">
      <c r="B204" s="32"/>
    </row>
    <row r="205" ht="15.75" customHeight="1">
      <c r="B205" s="32"/>
    </row>
    <row r="206" ht="15.75" customHeight="1">
      <c r="B206" s="32"/>
    </row>
    <row r="207" ht="15.75" customHeight="1">
      <c r="B207" s="32"/>
    </row>
    <row r="208" ht="15.75" customHeight="1">
      <c r="B208" s="32"/>
    </row>
    <row r="209" ht="15.75" customHeight="1">
      <c r="B209" s="32"/>
    </row>
    <row r="210" ht="15.75" customHeight="1">
      <c r="B210" s="32"/>
    </row>
    <row r="211" ht="15.75" customHeight="1">
      <c r="B211" s="32"/>
    </row>
    <row r="212" ht="15.75" customHeight="1">
      <c r="B212" s="32"/>
    </row>
    <row r="213" ht="15.75" customHeight="1">
      <c r="B213" s="32"/>
    </row>
    <row r="214" ht="15.75" customHeight="1">
      <c r="B214" s="32"/>
    </row>
    <row r="215" ht="15.75" customHeight="1">
      <c r="B215" s="32"/>
    </row>
    <row r="216" ht="15.75" customHeight="1">
      <c r="B216" s="32"/>
    </row>
    <row r="217" ht="15.75" customHeight="1">
      <c r="B217" s="32"/>
    </row>
    <row r="218" ht="15.75" customHeight="1">
      <c r="B218" s="32"/>
    </row>
    <row r="219" ht="15.75" customHeight="1">
      <c r="B219" s="32"/>
    </row>
    <row r="220" ht="15.75" customHeight="1">
      <c r="B220" s="32"/>
    </row>
    <row r="221" ht="15.75" customHeight="1">
      <c r="B221" s="32"/>
    </row>
    <row r="222" ht="15.75" customHeight="1">
      <c r="B222" s="32"/>
    </row>
    <row r="223" ht="15.75" customHeight="1">
      <c r="B223" s="32"/>
    </row>
    <row r="224" ht="15.75" customHeight="1">
      <c r="B224" s="32"/>
    </row>
    <row r="225" ht="15.75" customHeight="1">
      <c r="B225" s="32"/>
    </row>
    <row r="226" ht="15.75" customHeight="1">
      <c r="B226" s="32"/>
    </row>
    <row r="227" ht="15.75" customHeight="1">
      <c r="B227" s="32"/>
    </row>
    <row r="228" ht="15.75" customHeight="1">
      <c r="B228" s="32"/>
    </row>
    <row r="229" ht="15.75" customHeight="1">
      <c r="B229" s="32"/>
    </row>
    <row r="230" ht="15.75" customHeight="1">
      <c r="B230" s="32"/>
    </row>
    <row r="231" ht="15.75" customHeight="1">
      <c r="B231" s="32"/>
    </row>
    <row r="232" ht="15.75" customHeight="1">
      <c r="B232" s="32"/>
    </row>
    <row r="233" ht="15.75" customHeight="1">
      <c r="B233" s="32"/>
    </row>
    <row r="234" ht="15.75" customHeight="1">
      <c r="B234" s="32"/>
    </row>
    <row r="235" ht="15.75" customHeight="1">
      <c r="B235" s="32"/>
    </row>
    <row r="236" ht="15.75" customHeight="1">
      <c r="B236" s="32"/>
    </row>
    <row r="237" ht="15.75" customHeight="1">
      <c r="B237" s="32"/>
    </row>
    <row r="238" ht="15.75" customHeight="1">
      <c r="B238" s="32"/>
    </row>
    <row r="239" ht="15.75" customHeight="1">
      <c r="B239" s="32"/>
    </row>
    <row r="240" ht="15.75" customHeight="1">
      <c r="B240" s="32"/>
    </row>
    <row r="241" ht="15.75" customHeight="1">
      <c r="B241" s="32"/>
    </row>
    <row r="242" ht="15.75" customHeight="1">
      <c r="B242" s="32"/>
    </row>
    <row r="243" ht="15.75" customHeight="1">
      <c r="B243" s="32"/>
    </row>
    <row r="244" ht="15.75" customHeight="1">
      <c r="B244" s="32"/>
    </row>
    <row r="245" ht="15.75" customHeight="1">
      <c r="B245" s="32"/>
    </row>
    <row r="246" ht="15.75" customHeight="1">
      <c r="B246" s="32"/>
    </row>
    <row r="247" ht="15.75" customHeight="1">
      <c r="B247" s="32"/>
    </row>
    <row r="248" ht="15.75" customHeight="1">
      <c r="B248" s="32"/>
    </row>
    <row r="249" ht="15.75" customHeight="1">
      <c r="B249" s="32"/>
    </row>
    <row r="250" ht="15.75" customHeight="1">
      <c r="B250" s="32"/>
    </row>
    <row r="251" ht="15.75" customHeight="1">
      <c r="B251" s="32"/>
    </row>
    <row r="252" ht="15.75" customHeight="1">
      <c r="B252" s="32"/>
    </row>
    <row r="253" ht="15.75" customHeight="1">
      <c r="B253" s="32"/>
    </row>
    <row r="254" ht="15.75" customHeight="1">
      <c r="B254" s="32"/>
    </row>
    <row r="255" ht="15.75" customHeight="1">
      <c r="B255" s="32"/>
    </row>
    <row r="256" ht="15.75" customHeight="1">
      <c r="B256" s="32"/>
    </row>
    <row r="257" ht="15.75" customHeight="1">
      <c r="B257" s="32"/>
    </row>
    <row r="258" ht="15.75" customHeight="1">
      <c r="B258" s="32"/>
    </row>
    <row r="259" ht="15.75" customHeight="1">
      <c r="B259" s="32"/>
    </row>
    <row r="260" ht="15.75" customHeight="1">
      <c r="B260" s="32"/>
    </row>
    <row r="261" ht="15.75" customHeight="1">
      <c r="B261" s="32"/>
    </row>
    <row r="262" ht="15.75" customHeight="1">
      <c r="B262" s="32"/>
    </row>
    <row r="263" ht="15.75" customHeight="1">
      <c r="B263" s="32"/>
    </row>
    <row r="264" ht="15.75" customHeight="1">
      <c r="B264" s="32"/>
    </row>
    <row r="265" ht="15.75" customHeight="1">
      <c r="B265" s="32"/>
    </row>
    <row r="266" ht="15.75" customHeight="1">
      <c r="B266" s="32"/>
    </row>
    <row r="267" ht="15.75" customHeight="1">
      <c r="B267" s="32"/>
    </row>
    <row r="268" ht="15.75" customHeight="1">
      <c r="B268" s="32"/>
    </row>
    <row r="269" ht="15.75" customHeight="1">
      <c r="B269" s="32"/>
    </row>
    <row r="270" ht="15.75" customHeight="1">
      <c r="B270" s="32"/>
    </row>
    <row r="271" ht="15.75" customHeight="1">
      <c r="B271" s="32"/>
    </row>
    <row r="272" ht="15.75" customHeight="1">
      <c r="B272" s="32"/>
    </row>
    <row r="273" ht="15.75" customHeight="1">
      <c r="B273" s="32"/>
    </row>
    <row r="274" ht="15.75" customHeight="1">
      <c r="B274" s="32"/>
    </row>
    <row r="275" ht="15.75" customHeight="1">
      <c r="B275" s="32"/>
    </row>
    <row r="276" ht="15.75" customHeight="1">
      <c r="B276" s="32"/>
    </row>
    <row r="277" ht="15.75" customHeight="1">
      <c r="B277" s="32"/>
    </row>
    <row r="278" ht="15.75" customHeight="1">
      <c r="B278" s="32"/>
    </row>
    <row r="279" ht="15.75" customHeight="1">
      <c r="B279" s="32"/>
    </row>
    <row r="280" ht="15.75" customHeight="1">
      <c r="B280" s="32"/>
    </row>
    <row r="281" ht="15.75" customHeight="1">
      <c r="B281" s="32"/>
    </row>
    <row r="282" ht="15.75" customHeight="1">
      <c r="B282" s="32"/>
    </row>
    <row r="283" ht="15.75" customHeight="1">
      <c r="B283" s="32"/>
    </row>
    <row r="284" ht="15.75" customHeight="1">
      <c r="B284" s="32"/>
    </row>
    <row r="285" ht="15.75" customHeight="1">
      <c r="B285" s="32"/>
    </row>
    <row r="286" ht="15.75" customHeight="1">
      <c r="B286" s="32"/>
    </row>
    <row r="287" ht="15.75" customHeight="1">
      <c r="B287" s="32"/>
    </row>
    <row r="288" ht="15.75" customHeight="1">
      <c r="B288" s="32"/>
    </row>
    <row r="289" ht="15.75" customHeight="1">
      <c r="B289" s="32"/>
    </row>
    <row r="290" ht="15.75" customHeight="1">
      <c r="B290" s="32"/>
    </row>
    <row r="291" ht="15.75" customHeight="1">
      <c r="B291" s="32"/>
    </row>
    <row r="292" ht="15.75" customHeight="1">
      <c r="B292" s="32"/>
    </row>
    <row r="293" ht="15.75" customHeight="1">
      <c r="B293" s="32"/>
    </row>
    <row r="294" ht="15.75" customHeight="1">
      <c r="B294" s="32"/>
    </row>
    <row r="295" ht="15.75" customHeight="1">
      <c r="B295" s="32"/>
    </row>
    <row r="296" ht="15.75" customHeight="1">
      <c r="B296" s="32"/>
    </row>
    <row r="297" ht="15.75" customHeight="1">
      <c r="B297" s="32"/>
    </row>
    <row r="298" ht="15.75" customHeight="1">
      <c r="B298" s="32"/>
    </row>
    <row r="299" ht="15.75" customHeight="1">
      <c r="B299" s="32"/>
    </row>
    <row r="300" ht="15.75" customHeight="1">
      <c r="B300" s="32"/>
    </row>
    <row r="301" ht="15.75" customHeight="1">
      <c r="B301" s="32"/>
    </row>
    <row r="302" ht="15.75" customHeight="1">
      <c r="B302" s="32"/>
    </row>
    <row r="303" ht="15.75" customHeight="1">
      <c r="B303" s="32"/>
    </row>
    <row r="304" ht="15.75" customHeight="1">
      <c r="B304" s="32"/>
    </row>
    <row r="305" ht="15.75" customHeight="1">
      <c r="B305" s="32"/>
    </row>
    <row r="306" ht="15.75" customHeight="1">
      <c r="B306" s="32"/>
    </row>
    <row r="307" ht="15.75" customHeight="1">
      <c r="B307" s="32"/>
    </row>
    <row r="308" ht="15.75" customHeight="1">
      <c r="B308" s="32"/>
    </row>
    <row r="309" ht="15.75" customHeight="1">
      <c r="B309" s="32"/>
    </row>
    <row r="310" ht="15.75" customHeight="1">
      <c r="B310" s="32"/>
    </row>
    <row r="311" ht="15.75" customHeight="1">
      <c r="B311" s="32"/>
    </row>
    <row r="312" ht="15.75" customHeight="1">
      <c r="B312" s="32"/>
    </row>
    <row r="313" ht="15.75" customHeight="1">
      <c r="B313" s="32"/>
    </row>
    <row r="314" ht="15.75" customHeight="1">
      <c r="B314" s="32"/>
    </row>
    <row r="315" ht="15.75" customHeight="1">
      <c r="B315" s="32"/>
    </row>
    <row r="316" ht="15.75" customHeight="1">
      <c r="B316" s="32"/>
    </row>
    <row r="317" ht="15.75" customHeight="1">
      <c r="B317" s="32"/>
    </row>
    <row r="318" ht="15.75" customHeight="1">
      <c r="B318" s="32"/>
    </row>
    <row r="319" ht="15.75" customHeight="1">
      <c r="B319" s="32"/>
    </row>
    <row r="320" ht="15.75" customHeight="1">
      <c r="B320" s="32"/>
    </row>
    <row r="321" ht="15.75" customHeight="1">
      <c r="B321" s="32"/>
    </row>
    <row r="322" ht="15.75" customHeight="1">
      <c r="B322" s="32"/>
    </row>
    <row r="323" ht="15.75" customHeight="1">
      <c r="B323" s="32"/>
    </row>
    <row r="324" ht="15.75" customHeight="1">
      <c r="B324" s="32"/>
    </row>
    <row r="325" ht="15.75" customHeight="1">
      <c r="B325" s="32"/>
    </row>
    <row r="326" ht="15.75" customHeight="1">
      <c r="B326" s="32"/>
    </row>
    <row r="327" ht="15.75" customHeight="1">
      <c r="B327" s="32"/>
    </row>
    <row r="328" ht="15.75" customHeight="1">
      <c r="B328" s="32"/>
    </row>
    <row r="329" ht="15.75" customHeight="1">
      <c r="B329" s="32"/>
    </row>
    <row r="330" ht="15.75" customHeight="1">
      <c r="B330" s="32"/>
    </row>
    <row r="331" ht="15.75" customHeight="1">
      <c r="B331" s="32"/>
    </row>
    <row r="332" ht="15.75" customHeight="1">
      <c r="B332" s="32"/>
    </row>
    <row r="333" ht="15.75" customHeight="1">
      <c r="B333" s="32"/>
    </row>
    <row r="334" ht="15.75" customHeight="1">
      <c r="B334" s="32"/>
    </row>
    <row r="335" ht="15.75" customHeight="1">
      <c r="B335" s="32"/>
    </row>
    <row r="336" ht="15.75" customHeight="1">
      <c r="B336" s="32"/>
    </row>
    <row r="337" ht="15.75" customHeight="1">
      <c r="B337" s="32"/>
    </row>
    <row r="338" ht="15.75" customHeight="1">
      <c r="B338" s="32"/>
    </row>
    <row r="339" ht="15.75" customHeight="1">
      <c r="B339" s="32"/>
    </row>
    <row r="340" ht="15.75" customHeight="1">
      <c r="B340" s="32"/>
    </row>
    <row r="341" ht="15.75" customHeight="1">
      <c r="B341" s="32"/>
    </row>
    <row r="342" ht="15.75" customHeight="1">
      <c r="B342" s="32"/>
    </row>
    <row r="343" ht="15.75" customHeight="1">
      <c r="B343" s="32"/>
    </row>
    <row r="344" ht="15.75" customHeight="1">
      <c r="B344" s="32"/>
    </row>
    <row r="345" ht="15.75" customHeight="1">
      <c r="B345" s="32"/>
    </row>
    <row r="346" ht="15.75" customHeight="1">
      <c r="B346" s="32"/>
    </row>
    <row r="347" ht="15.75" customHeight="1">
      <c r="B347" s="32"/>
    </row>
    <row r="348" ht="15.75" customHeight="1">
      <c r="B348" s="32"/>
    </row>
    <row r="349" ht="15.75" customHeight="1">
      <c r="B349" s="32"/>
    </row>
    <row r="350" ht="15.75" customHeight="1">
      <c r="B350" s="32"/>
    </row>
    <row r="351" ht="15.75" customHeight="1">
      <c r="B351" s="32"/>
    </row>
    <row r="352" ht="15.75" customHeight="1">
      <c r="B352" s="32"/>
    </row>
    <row r="353" ht="15.75" customHeight="1">
      <c r="B353" s="32"/>
    </row>
    <row r="354" ht="15.75" customHeight="1">
      <c r="B354" s="32"/>
    </row>
    <row r="355" ht="15.75" customHeight="1">
      <c r="B355" s="32"/>
    </row>
    <row r="356" ht="15.75" customHeight="1">
      <c r="B356" s="32"/>
    </row>
    <row r="357" ht="15.75" customHeight="1">
      <c r="B357" s="32"/>
    </row>
    <row r="358" ht="15.75" customHeight="1">
      <c r="B358" s="32"/>
    </row>
    <row r="359" ht="15.75" customHeight="1">
      <c r="B359" s="32"/>
    </row>
    <row r="360" ht="15.75" customHeight="1">
      <c r="B360" s="32"/>
    </row>
    <row r="361" ht="15.75" customHeight="1">
      <c r="B361" s="32"/>
    </row>
    <row r="362" ht="15.75" customHeight="1">
      <c r="B362" s="32"/>
    </row>
    <row r="363" ht="15.75" customHeight="1">
      <c r="B363" s="32"/>
    </row>
    <row r="364" ht="15.75" customHeight="1">
      <c r="B364" s="32"/>
    </row>
    <row r="365" ht="15.75" customHeight="1">
      <c r="B365" s="32"/>
    </row>
    <row r="366" ht="15.75" customHeight="1">
      <c r="B366" s="32"/>
    </row>
    <row r="367" ht="15.75" customHeight="1">
      <c r="B367" s="32"/>
    </row>
    <row r="368" ht="15.75" customHeight="1">
      <c r="B368" s="32"/>
    </row>
    <row r="369" ht="15.75" customHeight="1">
      <c r="B369" s="32"/>
    </row>
    <row r="370" ht="15.75" customHeight="1">
      <c r="B370" s="32"/>
    </row>
    <row r="371" ht="15.75" customHeight="1">
      <c r="B371" s="32"/>
    </row>
    <row r="372" ht="15.75" customHeight="1">
      <c r="B372" s="32"/>
    </row>
    <row r="373" ht="15.75" customHeight="1">
      <c r="B373" s="32"/>
    </row>
    <row r="374" ht="15.75" customHeight="1">
      <c r="B374" s="32"/>
    </row>
    <row r="375" ht="15.75" customHeight="1">
      <c r="B375" s="32"/>
    </row>
    <row r="376" ht="15.75" customHeight="1">
      <c r="B376" s="32"/>
    </row>
    <row r="377" ht="15.75" customHeight="1">
      <c r="B377" s="32"/>
    </row>
    <row r="378" ht="15.75" customHeight="1">
      <c r="B378" s="32"/>
    </row>
    <row r="379" ht="15.75" customHeight="1">
      <c r="B379" s="32"/>
    </row>
    <row r="380" ht="15.75" customHeight="1">
      <c r="B380" s="32"/>
    </row>
    <row r="381" ht="15.75" customHeight="1">
      <c r="B381" s="32"/>
    </row>
    <row r="382" ht="15.75" customHeight="1">
      <c r="B382" s="32"/>
    </row>
    <row r="383" ht="15.75" customHeight="1">
      <c r="B383" s="32"/>
    </row>
    <row r="384" ht="15.75" customHeight="1">
      <c r="B384" s="32"/>
    </row>
    <row r="385" ht="15.75" customHeight="1">
      <c r="B385" s="32"/>
    </row>
    <row r="386" ht="15.75" customHeight="1">
      <c r="B386" s="32"/>
    </row>
    <row r="387" ht="15.75" customHeight="1">
      <c r="B387" s="32"/>
    </row>
    <row r="388" ht="15.75" customHeight="1">
      <c r="B388" s="32"/>
    </row>
    <row r="389" ht="15.75" customHeight="1">
      <c r="B389" s="32"/>
    </row>
    <row r="390" ht="15.75" customHeight="1">
      <c r="B390" s="32"/>
    </row>
    <row r="391" ht="15.75" customHeight="1">
      <c r="B391" s="32"/>
    </row>
    <row r="392" ht="15.75" customHeight="1">
      <c r="B392" s="32"/>
    </row>
    <row r="393" ht="15.75" customHeight="1">
      <c r="B393" s="32"/>
    </row>
    <row r="394" ht="15.75" customHeight="1">
      <c r="B394" s="32"/>
    </row>
    <row r="395" ht="15.75" customHeight="1">
      <c r="B395" s="32"/>
    </row>
    <row r="396" ht="15.75" customHeight="1">
      <c r="B396" s="32"/>
    </row>
    <row r="397" ht="15.75" customHeight="1">
      <c r="B397" s="32"/>
    </row>
    <row r="398" ht="15.75" customHeight="1">
      <c r="B398" s="32"/>
    </row>
    <row r="399" ht="15.75" customHeight="1">
      <c r="B399" s="32"/>
    </row>
    <row r="400" ht="15.75" customHeight="1">
      <c r="B400" s="32"/>
    </row>
    <row r="401" ht="15.75" customHeight="1">
      <c r="B401" s="32"/>
    </row>
    <row r="402" ht="15.75" customHeight="1">
      <c r="B402" s="32"/>
    </row>
    <row r="403" ht="15.75" customHeight="1">
      <c r="B403" s="32"/>
    </row>
    <row r="404" ht="15.75" customHeight="1">
      <c r="B404" s="32"/>
    </row>
    <row r="405" ht="15.75" customHeight="1">
      <c r="B405" s="32"/>
    </row>
    <row r="406" ht="15.75" customHeight="1">
      <c r="B406" s="32"/>
    </row>
    <row r="407" ht="15.75" customHeight="1">
      <c r="B407" s="32"/>
    </row>
    <row r="408" ht="15.75" customHeight="1">
      <c r="B408" s="32"/>
    </row>
    <row r="409" ht="15.75" customHeight="1">
      <c r="B409" s="32"/>
    </row>
    <row r="410" ht="15.75" customHeight="1">
      <c r="B410" s="32"/>
    </row>
    <row r="411" ht="15.75" customHeight="1">
      <c r="B411" s="32"/>
    </row>
    <row r="412" ht="15.75" customHeight="1">
      <c r="B412" s="32"/>
    </row>
    <row r="413" ht="15.75" customHeight="1">
      <c r="B413" s="32"/>
    </row>
    <row r="414" ht="15.75" customHeight="1">
      <c r="B414" s="32"/>
    </row>
    <row r="415" ht="15.75" customHeight="1">
      <c r="B415" s="32"/>
    </row>
    <row r="416" ht="15.75" customHeight="1">
      <c r="B416" s="32"/>
    </row>
    <row r="417" ht="15.75" customHeight="1">
      <c r="B417" s="32"/>
    </row>
    <row r="418" ht="15.75" customHeight="1">
      <c r="B418" s="32"/>
    </row>
    <row r="419" ht="15.75" customHeight="1">
      <c r="B419" s="32"/>
    </row>
    <row r="420" ht="15.75" customHeight="1">
      <c r="B420" s="32"/>
    </row>
    <row r="421" ht="15.75" customHeight="1">
      <c r="B421" s="32"/>
    </row>
    <row r="422" ht="15.75" customHeight="1">
      <c r="B422" s="32"/>
    </row>
    <row r="423" ht="15.75" customHeight="1">
      <c r="B423" s="32"/>
    </row>
    <row r="424" ht="15.75" customHeight="1">
      <c r="B424" s="32"/>
    </row>
    <row r="425" ht="15.75" customHeight="1">
      <c r="B425" s="32"/>
    </row>
    <row r="426" ht="15.75" customHeight="1">
      <c r="B426" s="32"/>
    </row>
    <row r="427" ht="15.75" customHeight="1">
      <c r="B427" s="32"/>
    </row>
    <row r="428" ht="15.75" customHeight="1">
      <c r="B428" s="32"/>
    </row>
    <row r="429" ht="15.75" customHeight="1">
      <c r="B429" s="32"/>
    </row>
    <row r="430" ht="15.75" customHeight="1">
      <c r="B430" s="32"/>
    </row>
    <row r="431" ht="15.75" customHeight="1">
      <c r="B431" s="32"/>
    </row>
    <row r="432" ht="15.75" customHeight="1">
      <c r="B432" s="32"/>
    </row>
    <row r="433" ht="15.75" customHeight="1">
      <c r="B433" s="32"/>
    </row>
    <row r="434" ht="15.75" customHeight="1">
      <c r="B434" s="32"/>
    </row>
    <row r="435" ht="15.75" customHeight="1">
      <c r="B435" s="32"/>
    </row>
    <row r="436" ht="15.75" customHeight="1">
      <c r="B436" s="32"/>
    </row>
    <row r="437" ht="15.75" customHeight="1">
      <c r="B437" s="32"/>
    </row>
    <row r="438" ht="15.75" customHeight="1">
      <c r="B438" s="32"/>
    </row>
    <row r="439" ht="15.75" customHeight="1">
      <c r="B439" s="32"/>
    </row>
    <row r="440" ht="15.75" customHeight="1">
      <c r="B440" s="32"/>
    </row>
    <row r="441" ht="15.75" customHeight="1">
      <c r="B441" s="32"/>
    </row>
    <row r="442" ht="15.75" customHeight="1">
      <c r="B442" s="32"/>
    </row>
    <row r="443" ht="15.75" customHeight="1">
      <c r="B443" s="32"/>
    </row>
    <row r="444" ht="15.75" customHeight="1">
      <c r="B444" s="32"/>
    </row>
    <row r="445" ht="15.75" customHeight="1">
      <c r="B445" s="32"/>
    </row>
    <row r="446" ht="15.75" customHeight="1">
      <c r="B446" s="32"/>
    </row>
    <row r="447" ht="15.75" customHeight="1">
      <c r="B447" s="32"/>
    </row>
    <row r="448" ht="15.75" customHeight="1">
      <c r="B448" s="32"/>
    </row>
    <row r="449" ht="15.75" customHeight="1">
      <c r="B449" s="32"/>
    </row>
    <row r="450" ht="15.75" customHeight="1">
      <c r="B450" s="32"/>
    </row>
    <row r="451" ht="15.75" customHeight="1">
      <c r="B451" s="32"/>
    </row>
    <row r="452" ht="15.75" customHeight="1">
      <c r="B452" s="32"/>
    </row>
    <row r="453" ht="15.75" customHeight="1">
      <c r="B453" s="32"/>
    </row>
    <row r="454" ht="15.75" customHeight="1">
      <c r="B454" s="32"/>
    </row>
    <row r="455" ht="15.75" customHeight="1">
      <c r="B455" s="32"/>
    </row>
    <row r="456" ht="15.75" customHeight="1">
      <c r="B456" s="32"/>
    </row>
    <row r="457" ht="15.75" customHeight="1">
      <c r="B457" s="32"/>
    </row>
    <row r="458" ht="15.75" customHeight="1">
      <c r="B458" s="32"/>
    </row>
    <row r="459" ht="15.75" customHeight="1">
      <c r="B459" s="32"/>
    </row>
    <row r="460" ht="15.75" customHeight="1">
      <c r="B460" s="32"/>
    </row>
    <row r="461" ht="15.75" customHeight="1">
      <c r="B461" s="32"/>
    </row>
    <row r="462" ht="15.75" customHeight="1">
      <c r="B462" s="32"/>
    </row>
    <row r="463" ht="15.75" customHeight="1">
      <c r="B463" s="32"/>
    </row>
    <row r="464" ht="15.75" customHeight="1">
      <c r="B464" s="32"/>
    </row>
    <row r="465" ht="15.75" customHeight="1">
      <c r="B465" s="32"/>
    </row>
    <row r="466" ht="15.75" customHeight="1">
      <c r="B466" s="32"/>
    </row>
    <row r="467" ht="15.75" customHeight="1">
      <c r="B467" s="32"/>
    </row>
    <row r="468" ht="15.75" customHeight="1">
      <c r="B468" s="32"/>
    </row>
    <row r="469" ht="15.75" customHeight="1">
      <c r="B469" s="32"/>
    </row>
    <row r="470" ht="15.75" customHeight="1">
      <c r="B470" s="32"/>
    </row>
    <row r="471" ht="15.75" customHeight="1">
      <c r="B471" s="32"/>
    </row>
    <row r="472" ht="15.75" customHeight="1">
      <c r="B472" s="32"/>
    </row>
    <row r="473" ht="15.75" customHeight="1">
      <c r="B473" s="32"/>
    </row>
    <row r="474" ht="15.75" customHeight="1">
      <c r="B474" s="32"/>
    </row>
    <row r="475" ht="15.75" customHeight="1">
      <c r="B475" s="32"/>
    </row>
    <row r="476" ht="15.75" customHeight="1">
      <c r="B476" s="32"/>
    </row>
    <row r="477" ht="15.75" customHeight="1">
      <c r="B477" s="32"/>
    </row>
    <row r="478" ht="15.75" customHeight="1">
      <c r="B478" s="32"/>
    </row>
    <row r="479" ht="15.75" customHeight="1">
      <c r="B479" s="32"/>
    </row>
    <row r="480" ht="15.75" customHeight="1">
      <c r="B480" s="32"/>
    </row>
    <row r="481" ht="15.75" customHeight="1">
      <c r="B481" s="32"/>
    </row>
    <row r="482" ht="15.75" customHeight="1">
      <c r="B482" s="32"/>
    </row>
    <row r="483" ht="15.75" customHeight="1">
      <c r="B483" s="32"/>
    </row>
    <row r="484" ht="15.75" customHeight="1">
      <c r="B484" s="32"/>
    </row>
    <row r="485" ht="15.75" customHeight="1">
      <c r="B485" s="32"/>
    </row>
    <row r="486" ht="15.75" customHeight="1">
      <c r="B486" s="32"/>
    </row>
    <row r="487" ht="15.75" customHeight="1">
      <c r="B487" s="32"/>
    </row>
    <row r="488" ht="15.75" customHeight="1">
      <c r="B488" s="32"/>
    </row>
    <row r="489" ht="15.75" customHeight="1">
      <c r="B489" s="32"/>
    </row>
    <row r="490" ht="15.75" customHeight="1">
      <c r="B490" s="32"/>
    </row>
    <row r="491" ht="15.75" customHeight="1">
      <c r="B491" s="32"/>
    </row>
    <row r="492" ht="15.75" customHeight="1">
      <c r="B492" s="32"/>
    </row>
    <row r="493" ht="15.75" customHeight="1">
      <c r="B493" s="32"/>
    </row>
    <row r="494" ht="15.75" customHeight="1">
      <c r="B494" s="32"/>
    </row>
    <row r="495" ht="15.75" customHeight="1">
      <c r="B495" s="32"/>
    </row>
    <row r="496" ht="15.75" customHeight="1">
      <c r="B496" s="32"/>
    </row>
    <row r="497" ht="15.75" customHeight="1">
      <c r="B497" s="32"/>
    </row>
    <row r="498" ht="15.75" customHeight="1">
      <c r="B498" s="32"/>
    </row>
    <row r="499" ht="15.75" customHeight="1">
      <c r="B499" s="32"/>
    </row>
    <row r="500" ht="15.75" customHeight="1">
      <c r="B500" s="32"/>
    </row>
    <row r="501" ht="15.75" customHeight="1">
      <c r="B501" s="32"/>
    </row>
    <row r="502" ht="15.75" customHeight="1">
      <c r="B502" s="32"/>
    </row>
    <row r="503" ht="15.75" customHeight="1">
      <c r="B503" s="32"/>
    </row>
    <row r="504" ht="15.75" customHeight="1">
      <c r="B504" s="32"/>
    </row>
    <row r="505" ht="15.75" customHeight="1">
      <c r="B505" s="32"/>
    </row>
    <row r="506" ht="15.75" customHeight="1">
      <c r="B506" s="32"/>
    </row>
    <row r="507" ht="15.75" customHeight="1">
      <c r="B507" s="32"/>
    </row>
    <row r="508" ht="15.75" customHeight="1">
      <c r="B508" s="32"/>
    </row>
    <row r="509" ht="15.75" customHeight="1">
      <c r="B509" s="32"/>
    </row>
    <row r="510" ht="15.75" customHeight="1">
      <c r="B510" s="32"/>
    </row>
    <row r="511" ht="15.75" customHeight="1">
      <c r="B511" s="32"/>
    </row>
    <row r="512" ht="15.75" customHeight="1">
      <c r="B512" s="32"/>
    </row>
    <row r="513" ht="15.75" customHeight="1">
      <c r="B513" s="32"/>
    </row>
    <row r="514" ht="15.75" customHeight="1">
      <c r="B514" s="32"/>
    </row>
    <row r="515" ht="15.75" customHeight="1">
      <c r="B515" s="32"/>
    </row>
    <row r="516" ht="15.75" customHeight="1">
      <c r="B516" s="32"/>
    </row>
    <row r="517" ht="15.75" customHeight="1">
      <c r="B517" s="32"/>
    </row>
    <row r="518" ht="15.75" customHeight="1">
      <c r="B518" s="32"/>
    </row>
    <row r="519" ht="15.75" customHeight="1">
      <c r="B519" s="32"/>
    </row>
    <row r="520" ht="15.75" customHeight="1">
      <c r="B520" s="32"/>
    </row>
    <row r="521" ht="15.75" customHeight="1">
      <c r="B521" s="32"/>
    </row>
    <row r="522" ht="15.75" customHeight="1">
      <c r="B522" s="32"/>
    </row>
    <row r="523" ht="15.75" customHeight="1">
      <c r="B523" s="32"/>
    </row>
    <row r="524" ht="15.75" customHeight="1">
      <c r="B524" s="32"/>
    </row>
    <row r="525" ht="15.75" customHeight="1">
      <c r="B525" s="32"/>
    </row>
    <row r="526" ht="15.75" customHeight="1">
      <c r="B526" s="32"/>
    </row>
    <row r="527" ht="15.75" customHeight="1">
      <c r="B527" s="32"/>
    </row>
    <row r="528" ht="15.75" customHeight="1">
      <c r="B528" s="32"/>
    </row>
    <row r="529" ht="15.75" customHeight="1">
      <c r="B529" s="32"/>
    </row>
    <row r="530" ht="15.75" customHeight="1">
      <c r="B530" s="32"/>
    </row>
    <row r="531" ht="15.75" customHeight="1">
      <c r="B531" s="32"/>
    </row>
    <row r="532" ht="15.75" customHeight="1">
      <c r="B532" s="32"/>
    </row>
    <row r="533" ht="15.75" customHeight="1">
      <c r="B533" s="32"/>
    </row>
    <row r="534" ht="15.75" customHeight="1">
      <c r="B534" s="32"/>
    </row>
    <row r="535" ht="15.75" customHeight="1">
      <c r="B535" s="32"/>
    </row>
    <row r="536" ht="15.75" customHeight="1">
      <c r="B536" s="32"/>
    </row>
    <row r="537" ht="15.75" customHeight="1">
      <c r="B537" s="32"/>
    </row>
    <row r="538" ht="15.75" customHeight="1">
      <c r="B538" s="32"/>
    </row>
    <row r="539" ht="15.75" customHeight="1">
      <c r="B539" s="32"/>
    </row>
    <row r="540" ht="15.75" customHeight="1">
      <c r="B540" s="32"/>
    </row>
    <row r="541" ht="15.75" customHeight="1">
      <c r="B541" s="32"/>
    </row>
    <row r="542" ht="15.75" customHeight="1">
      <c r="B542" s="32"/>
    </row>
    <row r="543" ht="15.75" customHeight="1">
      <c r="B543" s="32"/>
    </row>
    <row r="544" ht="15.75" customHeight="1">
      <c r="B544" s="32"/>
    </row>
    <row r="545" ht="15.75" customHeight="1">
      <c r="B545" s="32"/>
    </row>
    <row r="546" ht="15.75" customHeight="1">
      <c r="B546" s="32"/>
    </row>
    <row r="547" ht="15.75" customHeight="1">
      <c r="B547" s="32"/>
    </row>
    <row r="548" ht="15.75" customHeight="1">
      <c r="B548" s="32"/>
    </row>
    <row r="549" ht="15.75" customHeight="1">
      <c r="B549" s="32"/>
    </row>
    <row r="550" ht="15.75" customHeight="1">
      <c r="B550" s="32"/>
    </row>
    <row r="551" ht="15.75" customHeight="1">
      <c r="B551" s="32"/>
    </row>
    <row r="552" ht="15.75" customHeight="1">
      <c r="B552" s="32"/>
    </row>
    <row r="553" ht="15.75" customHeight="1">
      <c r="B553" s="32"/>
    </row>
    <row r="554" ht="15.75" customHeight="1">
      <c r="B554" s="32"/>
    </row>
    <row r="555" ht="15.75" customHeight="1">
      <c r="B555" s="32"/>
    </row>
    <row r="556" ht="15.75" customHeight="1">
      <c r="B556" s="32"/>
    </row>
    <row r="557" ht="15.75" customHeight="1">
      <c r="B557" s="32"/>
    </row>
    <row r="558" ht="15.75" customHeight="1">
      <c r="B558" s="32"/>
    </row>
    <row r="559" ht="15.75" customHeight="1">
      <c r="B559" s="32"/>
    </row>
    <row r="560" ht="15.75" customHeight="1">
      <c r="B560" s="32"/>
    </row>
    <row r="561" ht="15.75" customHeight="1">
      <c r="B561" s="32"/>
    </row>
    <row r="562" ht="15.75" customHeight="1">
      <c r="B562" s="32"/>
    </row>
    <row r="563" ht="15.75" customHeight="1">
      <c r="B563" s="32"/>
    </row>
    <row r="564" ht="15.75" customHeight="1">
      <c r="B564" s="32"/>
    </row>
    <row r="565" ht="15.75" customHeight="1">
      <c r="B565" s="32"/>
    </row>
    <row r="566" ht="15.75" customHeight="1">
      <c r="B566" s="32"/>
    </row>
    <row r="567" ht="15.75" customHeight="1">
      <c r="B567" s="32"/>
    </row>
    <row r="568" ht="15.75" customHeight="1">
      <c r="B568" s="32"/>
    </row>
    <row r="569" ht="15.75" customHeight="1">
      <c r="B569" s="32"/>
    </row>
    <row r="570" ht="15.75" customHeight="1">
      <c r="B570" s="32"/>
    </row>
    <row r="571" ht="15.75" customHeight="1">
      <c r="B571" s="32"/>
    </row>
    <row r="572" ht="15.75" customHeight="1">
      <c r="B572" s="32"/>
    </row>
    <row r="573" ht="15.75" customHeight="1">
      <c r="B573" s="32"/>
    </row>
    <row r="574" ht="15.75" customHeight="1">
      <c r="B574" s="32"/>
    </row>
    <row r="575" ht="15.75" customHeight="1">
      <c r="B575" s="32"/>
    </row>
    <row r="576" ht="15.75" customHeight="1">
      <c r="B576" s="32"/>
    </row>
    <row r="577" ht="15.75" customHeight="1">
      <c r="B577" s="32"/>
    </row>
    <row r="578" ht="15.75" customHeight="1">
      <c r="B578" s="32"/>
    </row>
    <row r="579" ht="15.75" customHeight="1">
      <c r="B579" s="32"/>
    </row>
    <row r="580" ht="15.75" customHeight="1">
      <c r="B580" s="32"/>
    </row>
    <row r="581" ht="15.75" customHeight="1">
      <c r="B581" s="32"/>
    </row>
    <row r="582" ht="15.75" customHeight="1">
      <c r="B582" s="32"/>
    </row>
    <row r="583" ht="15.75" customHeight="1">
      <c r="B583" s="32"/>
    </row>
    <row r="584" ht="15.75" customHeight="1">
      <c r="B584" s="32"/>
    </row>
    <row r="585" ht="15.75" customHeight="1">
      <c r="B585" s="32"/>
    </row>
    <row r="586" ht="15.75" customHeight="1">
      <c r="B586" s="32"/>
    </row>
    <row r="587" ht="15.75" customHeight="1">
      <c r="B587" s="32"/>
    </row>
    <row r="588" ht="15.75" customHeight="1">
      <c r="B588" s="32"/>
    </row>
    <row r="589" ht="15.75" customHeight="1">
      <c r="B589" s="32"/>
    </row>
    <row r="590" ht="15.75" customHeight="1">
      <c r="B590" s="32"/>
    </row>
    <row r="591" ht="15.75" customHeight="1">
      <c r="B591" s="32"/>
    </row>
    <row r="592" ht="15.75" customHeight="1">
      <c r="B592" s="32"/>
    </row>
    <row r="593" ht="15.75" customHeight="1">
      <c r="B593" s="32"/>
    </row>
    <row r="594" ht="15.75" customHeight="1">
      <c r="B594" s="32"/>
    </row>
    <row r="595" ht="15.75" customHeight="1">
      <c r="B595" s="32"/>
    </row>
    <row r="596" ht="15.75" customHeight="1">
      <c r="B596" s="32"/>
    </row>
    <row r="597" ht="15.75" customHeight="1">
      <c r="B597" s="32"/>
    </row>
    <row r="598" ht="15.75" customHeight="1">
      <c r="B598" s="32"/>
    </row>
    <row r="599" ht="15.75" customHeight="1">
      <c r="B599" s="32"/>
    </row>
    <row r="600" ht="15.75" customHeight="1">
      <c r="B600" s="32"/>
    </row>
    <row r="601" ht="15.75" customHeight="1">
      <c r="B601" s="32"/>
    </row>
    <row r="602" ht="15.75" customHeight="1">
      <c r="B602" s="32"/>
    </row>
    <row r="603" ht="15.75" customHeight="1">
      <c r="B603" s="32"/>
    </row>
    <row r="604" ht="15.75" customHeight="1">
      <c r="B604" s="32"/>
    </row>
    <row r="605" ht="15.75" customHeight="1">
      <c r="B605" s="32"/>
    </row>
    <row r="606" ht="15.75" customHeight="1">
      <c r="B606" s="32"/>
    </row>
    <row r="607" ht="15.75" customHeight="1">
      <c r="B607" s="32"/>
    </row>
    <row r="608" ht="15.75" customHeight="1">
      <c r="B608" s="32"/>
    </row>
    <row r="609" ht="15.75" customHeight="1">
      <c r="B609" s="32"/>
    </row>
    <row r="610" ht="15.75" customHeight="1">
      <c r="B610" s="32"/>
    </row>
    <row r="611" ht="15.75" customHeight="1">
      <c r="B611" s="32"/>
    </row>
    <row r="612" ht="15.75" customHeight="1">
      <c r="B612" s="32"/>
    </row>
    <row r="613" ht="15.75" customHeight="1">
      <c r="B613" s="32"/>
    </row>
    <row r="614" ht="15.75" customHeight="1">
      <c r="B614" s="32"/>
    </row>
    <row r="615" ht="15.75" customHeight="1">
      <c r="B615" s="32"/>
    </row>
    <row r="616" ht="15.75" customHeight="1">
      <c r="B616" s="32"/>
    </row>
    <row r="617" ht="15.75" customHeight="1">
      <c r="B617" s="32"/>
    </row>
    <row r="618" ht="15.75" customHeight="1">
      <c r="B618" s="32"/>
    </row>
    <row r="619" ht="15.75" customHeight="1">
      <c r="B619" s="32"/>
    </row>
    <row r="620" ht="15.75" customHeight="1">
      <c r="B620" s="32"/>
    </row>
    <row r="621" ht="15.75" customHeight="1">
      <c r="B621" s="32"/>
    </row>
    <row r="622" ht="15.75" customHeight="1">
      <c r="B622" s="32"/>
    </row>
    <row r="623" ht="15.75" customHeight="1">
      <c r="B623" s="32"/>
    </row>
    <row r="624" ht="15.75" customHeight="1">
      <c r="B624" s="32"/>
    </row>
    <row r="625" ht="15.75" customHeight="1">
      <c r="B625" s="32"/>
    </row>
    <row r="626" ht="15.75" customHeight="1">
      <c r="B626" s="32"/>
    </row>
    <row r="627" ht="15.75" customHeight="1">
      <c r="B627" s="32"/>
    </row>
    <row r="628" ht="15.75" customHeight="1">
      <c r="B628" s="32"/>
    </row>
    <row r="629" ht="15.75" customHeight="1">
      <c r="B629" s="32"/>
    </row>
    <row r="630" ht="15.75" customHeight="1">
      <c r="B630" s="32"/>
    </row>
    <row r="631" ht="15.75" customHeight="1">
      <c r="B631" s="32"/>
    </row>
    <row r="632" ht="15.75" customHeight="1">
      <c r="B632" s="32"/>
    </row>
    <row r="633" ht="15.75" customHeight="1">
      <c r="B633" s="32"/>
    </row>
    <row r="634" ht="15.75" customHeight="1">
      <c r="B634" s="32"/>
    </row>
    <row r="635" ht="15.75" customHeight="1">
      <c r="B635" s="32"/>
    </row>
    <row r="636" ht="15.75" customHeight="1">
      <c r="B636" s="32"/>
    </row>
    <row r="637" ht="15.75" customHeight="1">
      <c r="B637" s="32"/>
    </row>
    <row r="638" ht="15.75" customHeight="1">
      <c r="B638" s="32"/>
    </row>
    <row r="639" ht="15.75" customHeight="1">
      <c r="B639" s="32"/>
    </row>
    <row r="640" ht="15.75" customHeight="1">
      <c r="B640" s="32"/>
    </row>
    <row r="641" ht="15.75" customHeight="1">
      <c r="B641" s="32"/>
    </row>
    <row r="642" ht="15.75" customHeight="1">
      <c r="B642" s="32"/>
    </row>
    <row r="643" ht="15.75" customHeight="1">
      <c r="B643" s="32"/>
    </row>
    <row r="644" ht="15.75" customHeight="1">
      <c r="B644" s="32"/>
    </row>
    <row r="645" ht="15.75" customHeight="1">
      <c r="B645" s="32"/>
    </row>
    <row r="646" ht="15.75" customHeight="1">
      <c r="B646" s="32"/>
    </row>
    <row r="647" ht="15.75" customHeight="1">
      <c r="B647" s="32"/>
    </row>
    <row r="648" ht="15.75" customHeight="1">
      <c r="B648" s="32"/>
    </row>
    <row r="649" ht="15.75" customHeight="1">
      <c r="B649" s="32"/>
    </row>
    <row r="650" ht="15.75" customHeight="1">
      <c r="B650" s="32"/>
    </row>
    <row r="651" ht="15.75" customHeight="1">
      <c r="B651" s="32"/>
    </row>
    <row r="652" ht="15.75" customHeight="1">
      <c r="B652" s="32"/>
    </row>
    <row r="653" ht="15.75" customHeight="1">
      <c r="B653" s="32"/>
    </row>
    <row r="654" ht="15.75" customHeight="1">
      <c r="B654" s="32"/>
    </row>
    <row r="655" ht="15.75" customHeight="1">
      <c r="B655" s="32"/>
    </row>
    <row r="656" ht="15.75" customHeight="1">
      <c r="B656" s="32"/>
    </row>
    <row r="657" ht="15.75" customHeight="1">
      <c r="B657" s="32"/>
    </row>
    <row r="658" ht="15.75" customHeight="1">
      <c r="B658" s="32"/>
    </row>
    <row r="659" ht="15.75" customHeight="1">
      <c r="B659" s="32"/>
    </row>
    <row r="660" ht="15.75" customHeight="1">
      <c r="B660" s="32"/>
    </row>
    <row r="661" ht="15.75" customHeight="1">
      <c r="B661" s="32"/>
    </row>
    <row r="662" ht="15.75" customHeight="1">
      <c r="B662" s="32"/>
    </row>
    <row r="663" ht="15.75" customHeight="1">
      <c r="B663" s="32"/>
    </row>
    <row r="664" ht="15.75" customHeight="1">
      <c r="B664" s="32"/>
    </row>
    <row r="665" ht="15.75" customHeight="1">
      <c r="B665" s="32"/>
    </row>
    <row r="666" ht="15.75" customHeight="1">
      <c r="B666" s="32"/>
    </row>
    <row r="667" ht="15.75" customHeight="1">
      <c r="B667" s="32"/>
    </row>
    <row r="668" ht="15.75" customHeight="1">
      <c r="B668" s="32"/>
    </row>
    <row r="669" ht="15.75" customHeight="1">
      <c r="B669" s="32"/>
    </row>
    <row r="670" ht="15.75" customHeight="1">
      <c r="B670" s="32"/>
    </row>
    <row r="671" ht="15.75" customHeight="1">
      <c r="B671" s="32"/>
    </row>
    <row r="672" ht="15.75" customHeight="1">
      <c r="B672" s="32"/>
    </row>
    <row r="673" ht="15.75" customHeight="1">
      <c r="B673" s="32"/>
    </row>
    <row r="674" ht="15.75" customHeight="1">
      <c r="B674" s="32"/>
    </row>
    <row r="675" ht="15.75" customHeight="1">
      <c r="B675" s="32"/>
    </row>
    <row r="676" ht="15.75" customHeight="1">
      <c r="B676" s="32"/>
    </row>
    <row r="677" ht="15.75" customHeight="1">
      <c r="B677" s="32"/>
    </row>
    <row r="678" ht="15.75" customHeight="1">
      <c r="B678" s="32"/>
    </row>
    <row r="679" ht="15.75" customHeight="1">
      <c r="B679" s="32"/>
    </row>
    <row r="680" ht="15.75" customHeight="1">
      <c r="B680" s="32"/>
    </row>
    <row r="681" ht="15.75" customHeight="1">
      <c r="B681" s="32"/>
    </row>
    <row r="682" ht="15.75" customHeight="1">
      <c r="B682" s="32"/>
    </row>
    <row r="683" ht="15.75" customHeight="1">
      <c r="B683" s="32"/>
    </row>
    <row r="684" ht="15.75" customHeight="1">
      <c r="B684" s="32"/>
    </row>
    <row r="685" ht="15.75" customHeight="1">
      <c r="B685" s="32"/>
    </row>
    <row r="686" ht="15.75" customHeight="1">
      <c r="B686" s="32"/>
    </row>
    <row r="687" ht="15.75" customHeight="1">
      <c r="B687" s="32"/>
    </row>
    <row r="688" ht="15.75" customHeight="1">
      <c r="B688" s="32"/>
    </row>
    <row r="689" ht="15.75" customHeight="1">
      <c r="B689" s="32"/>
    </row>
    <row r="690" ht="15.75" customHeight="1">
      <c r="B690" s="32"/>
    </row>
    <row r="691" ht="15.75" customHeight="1">
      <c r="B691" s="32"/>
    </row>
    <row r="692" ht="15.75" customHeight="1">
      <c r="B692" s="32"/>
    </row>
    <row r="693" ht="15.75" customHeight="1">
      <c r="B693" s="32"/>
    </row>
    <row r="694" ht="15.75" customHeight="1">
      <c r="B694" s="32"/>
    </row>
    <row r="695" ht="15.75" customHeight="1">
      <c r="B695" s="32"/>
    </row>
    <row r="696" ht="15.75" customHeight="1">
      <c r="B696" s="32"/>
    </row>
    <row r="697" ht="15.75" customHeight="1">
      <c r="B697" s="32"/>
    </row>
    <row r="698" ht="15.75" customHeight="1">
      <c r="B698" s="32"/>
    </row>
    <row r="699" ht="15.75" customHeight="1">
      <c r="B699" s="32"/>
    </row>
    <row r="700" ht="15.75" customHeight="1">
      <c r="B700" s="32"/>
    </row>
    <row r="701" ht="15.75" customHeight="1">
      <c r="B701" s="32"/>
    </row>
    <row r="702" ht="15.75" customHeight="1">
      <c r="B702" s="32"/>
    </row>
    <row r="703" ht="15.75" customHeight="1">
      <c r="B703" s="32"/>
    </row>
    <row r="704" ht="15.75" customHeight="1">
      <c r="B704" s="32"/>
    </row>
    <row r="705" ht="15.75" customHeight="1">
      <c r="B705" s="32"/>
    </row>
    <row r="706" ht="15.75" customHeight="1">
      <c r="B706" s="32"/>
    </row>
    <row r="707" ht="15.75" customHeight="1">
      <c r="B707" s="32"/>
    </row>
    <row r="708" ht="15.75" customHeight="1">
      <c r="B708" s="32"/>
    </row>
    <row r="709" ht="15.75" customHeight="1">
      <c r="B709" s="32"/>
    </row>
    <row r="710" ht="15.75" customHeight="1">
      <c r="B710" s="32"/>
    </row>
    <row r="711" ht="15.75" customHeight="1">
      <c r="B711" s="32"/>
    </row>
    <row r="712" ht="15.75" customHeight="1">
      <c r="B712" s="32"/>
    </row>
    <row r="713" ht="15.75" customHeight="1">
      <c r="B713" s="32"/>
    </row>
    <row r="714" ht="15.75" customHeight="1">
      <c r="B714" s="32"/>
    </row>
    <row r="715" ht="15.75" customHeight="1">
      <c r="B715" s="32"/>
    </row>
    <row r="716" ht="15.75" customHeight="1">
      <c r="B716" s="32"/>
    </row>
    <row r="717" ht="15.75" customHeight="1">
      <c r="B717" s="32"/>
    </row>
    <row r="718" ht="15.75" customHeight="1">
      <c r="B718" s="32"/>
    </row>
    <row r="719" ht="15.75" customHeight="1">
      <c r="B719" s="32"/>
    </row>
    <row r="720" ht="15.75" customHeight="1">
      <c r="B720" s="32"/>
    </row>
    <row r="721" ht="15.75" customHeight="1">
      <c r="B721" s="32"/>
    </row>
    <row r="722" ht="15.75" customHeight="1">
      <c r="B722" s="32"/>
    </row>
    <row r="723" ht="15.75" customHeight="1">
      <c r="B723" s="32"/>
    </row>
    <row r="724" ht="15.75" customHeight="1">
      <c r="B724" s="32"/>
    </row>
    <row r="725" ht="15.75" customHeight="1">
      <c r="B725" s="32"/>
    </row>
    <row r="726" ht="15.75" customHeight="1">
      <c r="B726" s="32"/>
    </row>
    <row r="727" ht="15.75" customHeight="1">
      <c r="B727" s="32"/>
    </row>
    <row r="728" ht="15.75" customHeight="1">
      <c r="B728" s="32"/>
    </row>
    <row r="729" ht="15.75" customHeight="1">
      <c r="B729" s="32"/>
    </row>
    <row r="730" ht="15.75" customHeight="1">
      <c r="B730" s="32"/>
    </row>
    <row r="731" ht="15.75" customHeight="1">
      <c r="B731" s="32"/>
    </row>
    <row r="732" ht="15.75" customHeight="1">
      <c r="B732" s="32"/>
    </row>
    <row r="733" ht="15.75" customHeight="1">
      <c r="B733" s="32"/>
    </row>
    <row r="734" ht="15.75" customHeight="1">
      <c r="B734" s="32"/>
    </row>
    <row r="735" ht="15.75" customHeight="1">
      <c r="B735" s="32"/>
    </row>
    <row r="736" ht="15.75" customHeight="1">
      <c r="B736" s="32"/>
    </row>
    <row r="737" ht="15.75" customHeight="1">
      <c r="B737" s="32"/>
    </row>
    <row r="738" ht="15.75" customHeight="1">
      <c r="B738" s="32"/>
    </row>
    <row r="739" ht="15.75" customHeight="1">
      <c r="B739" s="32"/>
    </row>
    <row r="740" ht="15.75" customHeight="1">
      <c r="B740" s="32"/>
    </row>
    <row r="741" ht="15.75" customHeight="1">
      <c r="B741" s="32"/>
    </row>
    <row r="742" ht="15.75" customHeight="1">
      <c r="B742" s="32"/>
    </row>
    <row r="743" ht="15.75" customHeight="1">
      <c r="B743" s="32"/>
    </row>
    <row r="744" ht="15.75" customHeight="1">
      <c r="B744" s="32"/>
    </row>
    <row r="745" ht="15.75" customHeight="1">
      <c r="B745" s="32"/>
    </row>
    <row r="746" ht="15.75" customHeight="1">
      <c r="B746" s="32"/>
    </row>
    <row r="747" ht="15.75" customHeight="1">
      <c r="B747" s="32"/>
    </row>
    <row r="748" ht="15.75" customHeight="1">
      <c r="B748" s="32"/>
    </row>
    <row r="749" ht="15.75" customHeight="1">
      <c r="B749" s="32"/>
    </row>
    <row r="750" ht="15.75" customHeight="1">
      <c r="B750" s="32"/>
    </row>
    <row r="751" ht="15.75" customHeight="1">
      <c r="B751" s="32"/>
    </row>
    <row r="752" ht="15.75" customHeight="1">
      <c r="B752" s="32"/>
    </row>
    <row r="753" ht="15.75" customHeight="1">
      <c r="B753" s="32"/>
    </row>
    <row r="754" ht="15.75" customHeight="1">
      <c r="B754" s="32"/>
    </row>
    <row r="755" ht="15.75" customHeight="1">
      <c r="B755" s="32"/>
    </row>
    <row r="756" ht="15.75" customHeight="1">
      <c r="B756" s="32"/>
    </row>
    <row r="757" ht="15.75" customHeight="1">
      <c r="B757" s="32"/>
    </row>
    <row r="758" ht="15.75" customHeight="1">
      <c r="B758" s="32"/>
    </row>
    <row r="759" ht="15.75" customHeight="1">
      <c r="B759" s="32"/>
    </row>
    <row r="760" ht="15.75" customHeight="1">
      <c r="B760" s="32"/>
    </row>
    <row r="761" ht="15.75" customHeight="1">
      <c r="B761" s="32"/>
    </row>
    <row r="762" ht="15.75" customHeight="1">
      <c r="B762" s="32"/>
    </row>
    <row r="763" ht="15.75" customHeight="1">
      <c r="B763" s="32"/>
    </row>
    <row r="764" ht="15.75" customHeight="1">
      <c r="B764" s="32"/>
    </row>
    <row r="765" ht="15.75" customHeight="1">
      <c r="B765" s="32"/>
    </row>
    <row r="766" ht="15.75" customHeight="1">
      <c r="B766" s="32"/>
    </row>
    <row r="767" ht="15.75" customHeight="1">
      <c r="B767" s="32"/>
    </row>
    <row r="768" ht="15.75" customHeight="1">
      <c r="B768" s="32"/>
    </row>
    <row r="769" ht="15.75" customHeight="1">
      <c r="B769" s="32"/>
    </row>
    <row r="770" ht="15.75" customHeight="1">
      <c r="B770" s="32"/>
    </row>
    <row r="771" ht="15.75" customHeight="1">
      <c r="B771" s="32"/>
    </row>
    <row r="772" ht="15.75" customHeight="1">
      <c r="B772" s="32"/>
    </row>
    <row r="773" ht="15.75" customHeight="1">
      <c r="B773" s="32"/>
    </row>
    <row r="774" ht="15.75" customHeight="1">
      <c r="B774" s="32"/>
    </row>
    <row r="775" ht="15.75" customHeight="1">
      <c r="B775" s="32"/>
    </row>
    <row r="776" ht="15.75" customHeight="1">
      <c r="B776" s="32"/>
    </row>
    <row r="777" ht="15.75" customHeight="1">
      <c r="B777" s="32"/>
    </row>
    <row r="778" ht="15.75" customHeight="1">
      <c r="B778" s="32"/>
    </row>
    <row r="779" ht="15.75" customHeight="1">
      <c r="B779" s="32"/>
    </row>
    <row r="780" ht="15.75" customHeight="1">
      <c r="B780" s="32"/>
    </row>
    <row r="781" ht="15.75" customHeight="1">
      <c r="B781" s="32"/>
    </row>
    <row r="782" ht="15.75" customHeight="1">
      <c r="B782" s="32"/>
    </row>
    <row r="783" ht="15.75" customHeight="1">
      <c r="B783" s="32"/>
    </row>
    <row r="784" ht="15.75" customHeight="1">
      <c r="B784" s="32"/>
    </row>
    <row r="785" ht="15.75" customHeight="1">
      <c r="B785" s="32"/>
    </row>
    <row r="786" ht="15.75" customHeight="1">
      <c r="B786" s="32"/>
    </row>
    <row r="787" ht="15.75" customHeight="1">
      <c r="B787" s="32"/>
    </row>
    <row r="788" ht="15.75" customHeight="1">
      <c r="B788" s="32"/>
    </row>
    <row r="789" ht="15.75" customHeight="1">
      <c r="B789" s="32"/>
    </row>
    <row r="790" ht="15.75" customHeight="1">
      <c r="B790" s="32"/>
    </row>
    <row r="791" ht="15.75" customHeight="1">
      <c r="B791" s="32"/>
    </row>
    <row r="792" ht="15.75" customHeight="1">
      <c r="B792" s="32"/>
    </row>
    <row r="793" ht="15.75" customHeight="1">
      <c r="B793" s="32"/>
    </row>
    <row r="794" ht="15.75" customHeight="1">
      <c r="B794" s="32"/>
    </row>
    <row r="795" ht="15.75" customHeight="1">
      <c r="B795" s="32"/>
    </row>
    <row r="796" ht="15.75" customHeight="1">
      <c r="B796" s="32"/>
    </row>
    <row r="797" ht="15.75" customHeight="1">
      <c r="B797" s="32"/>
    </row>
    <row r="798" ht="15.75" customHeight="1">
      <c r="B798" s="32"/>
    </row>
    <row r="799" ht="15.75" customHeight="1">
      <c r="B799" s="32"/>
    </row>
    <row r="800" ht="15.75" customHeight="1">
      <c r="B800" s="32"/>
    </row>
    <row r="801" ht="15.75" customHeight="1">
      <c r="B801" s="32"/>
    </row>
    <row r="802" ht="15.75" customHeight="1">
      <c r="B802" s="32"/>
    </row>
    <row r="803" ht="15.75" customHeight="1">
      <c r="B803" s="32"/>
    </row>
    <row r="804" ht="15.75" customHeight="1">
      <c r="B804" s="32"/>
    </row>
    <row r="805" ht="15.75" customHeight="1">
      <c r="B805" s="32"/>
    </row>
    <row r="806" ht="15.75" customHeight="1">
      <c r="B806" s="32"/>
    </row>
    <row r="807" ht="15.75" customHeight="1">
      <c r="B807" s="32"/>
    </row>
    <row r="808" ht="15.75" customHeight="1">
      <c r="B808" s="32"/>
    </row>
    <row r="809" ht="15.75" customHeight="1">
      <c r="B809" s="32"/>
    </row>
    <row r="810" ht="15.75" customHeight="1">
      <c r="B810" s="32"/>
    </row>
    <row r="811" ht="15.75" customHeight="1">
      <c r="B811" s="32"/>
    </row>
    <row r="812" ht="15.75" customHeight="1">
      <c r="B812" s="32"/>
    </row>
    <row r="813" ht="15.75" customHeight="1">
      <c r="B813" s="32"/>
    </row>
    <row r="814" ht="15.75" customHeight="1">
      <c r="B814" s="32"/>
    </row>
    <row r="815" ht="15.75" customHeight="1">
      <c r="B815" s="32"/>
    </row>
    <row r="816" ht="15.75" customHeight="1">
      <c r="B816" s="32"/>
    </row>
    <row r="817" ht="15.75" customHeight="1">
      <c r="B817" s="32"/>
    </row>
    <row r="818" ht="15.75" customHeight="1">
      <c r="B818" s="32"/>
    </row>
    <row r="819" ht="15.75" customHeight="1">
      <c r="B819" s="32"/>
    </row>
    <row r="820" ht="15.75" customHeight="1">
      <c r="B820" s="32"/>
    </row>
    <row r="821" ht="15.75" customHeight="1">
      <c r="B821" s="32"/>
    </row>
    <row r="822" ht="15.75" customHeight="1">
      <c r="B822" s="32"/>
    </row>
    <row r="823" ht="15.75" customHeight="1">
      <c r="B823" s="32"/>
    </row>
    <row r="824" ht="15.75" customHeight="1">
      <c r="B824" s="32"/>
    </row>
    <row r="825" ht="15.75" customHeight="1">
      <c r="B825" s="32"/>
    </row>
    <row r="826" ht="15.75" customHeight="1">
      <c r="B826" s="32"/>
    </row>
    <row r="827" ht="15.75" customHeight="1">
      <c r="B827" s="32"/>
    </row>
    <row r="828" ht="15.75" customHeight="1">
      <c r="B828" s="32"/>
    </row>
    <row r="829" ht="15.75" customHeight="1">
      <c r="B829" s="32"/>
    </row>
    <row r="830" ht="15.75" customHeight="1">
      <c r="B830" s="32"/>
    </row>
    <row r="831" ht="15.75" customHeight="1">
      <c r="B831" s="32"/>
    </row>
    <row r="832" ht="15.75" customHeight="1">
      <c r="B832" s="32"/>
    </row>
    <row r="833" ht="15.75" customHeight="1">
      <c r="B833" s="32"/>
    </row>
    <row r="834" ht="15.75" customHeight="1">
      <c r="B834" s="32"/>
    </row>
    <row r="835" ht="15.75" customHeight="1">
      <c r="B835" s="32"/>
    </row>
    <row r="836" ht="15.75" customHeight="1">
      <c r="B836" s="32"/>
    </row>
    <row r="837" ht="15.75" customHeight="1">
      <c r="B837" s="32"/>
    </row>
    <row r="838" ht="15.75" customHeight="1">
      <c r="B838" s="32"/>
    </row>
    <row r="839" ht="15.75" customHeight="1">
      <c r="B839" s="32"/>
    </row>
    <row r="840" ht="15.75" customHeight="1">
      <c r="B840" s="32"/>
    </row>
    <row r="841" ht="15.75" customHeight="1">
      <c r="B841" s="32"/>
    </row>
    <row r="842" ht="15.75" customHeight="1">
      <c r="B842" s="32"/>
    </row>
    <row r="843" ht="15.75" customHeight="1">
      <c r="B843" s="32"/>
    </row>
    <row r="844" ht="15.75" customHeight="1">
      <c r="B844" s="32"/>
    </row>
    <row r="845" ht="15.75" customHeight="1">
      <c r="B845" s="32"/>
    </row>
    <row r="846" ht="15.75" customHeight="1">
      <c r="B846" s="32"/>
    </row>
    <row r="847" ht="15.75" customHeight="1">
      <c r="B847" s="32"/>
    </row>
    <row r="848" ht="15.75" customHeight="1">
      <c r="B848" s="32"/>
    </row>
    <row r="849" ht="15.75" customHeight="1">
      <c r="B849" s="32"/>
    </row>
    <row r="850" ht="15.75" customHeight="1">
      <c r="B850" s="32"/>
    </row>
    <row r="851" ht="15.75" customHeight="1">
      <c r="B851" s="32"/>
    </row>
    <row r="852" ht="15.75" customHeight="1">
      <c r="B852" s="32"/>
    </row>
    <row r="853" ht="15.75" customHeight="1">
      <c r="B853" s="32"/>
    </row>
    <row r="854" ht="15.75" customHeight="1">
      <c r="B854" s="32"/>
    </row>
    <row r="855" ht="15.75" customHeight="1">
      <c r="B855" s="32"/>
    </row>
    <row r="856" ht="15.75" customHeight="1">
      <c r="B856" s="32"/>
    </row>
    <row r="857" ht="15.75" customHeight="1">
      <c r="B857" s="32"/>
    </row>
    <row r="858" ht="15.75" customHeight="1">
      <c r="B858" s="32"/>
    </row>
    <row r="859" ht="15.75" customHeight="1">
      <c r="B859" s="32"/>
    </row>
    <row r="860" ht="15.75" customHeight="1">
      <c r="B860" s="32"/>
    </row>
    <row r="861" ht="15.75" customHeight="1">
      <c r="B861" s="32"/>
    </row>
    <row r="862" ht="15.75" customHeight="1">
      <c r="B862" s="32"/>
    </row>
    <row r="863" ht="15.75" customHeight="1">
      <c r="B863" s="32"/>
    </row>
    <row r="864" ht="15.75" customHeight="1">
      <c r="B864" s="32"/>
    </row>
    <row r="865" ht="15.75" customHeight="1">
      <c r="B865" s="32"/>
    </row>
    <row r="866" ht="15.75" customHeight="1">
      <c r="B866" s="32"/>
    </row>
    <row r="867" ht="15.75" customHeight="1">
      <c r="B867" s="32"/>
    </row>
    <row r="868" ht="15.75" customHeight="1">
      <c r="B868" s="32"/>
    </row>
    <row r="869" ht="15.75" customHeight="1">
      <c r="B869" s="32"/>
    </row>
    <row r="870" ht="15.75" customHeight="1">
      <c r="B870" s="32"/>
    </row>
    <row r="871" ht="15.75" customHeight="1">
      <c r="B871" s="32"/>
    </row>
    <row r="872" ht="15.75" customHeight="1">
      <c r="B872" s="32"/>
    </row>
    <row r="873" ht="15.75" customHeight="1">
      <c r="B873" s="32"/>
    </row>
    <row r="874" ht="15.75" customHeight="1">
      <c r="B874" s="32"/>
    </row>
    <row r="875" ht="15.75" customHeight="1">
      <c r="B875" s="32"/>
    </row>
    <row r="876" ht="15.75" customHeight="1">
      <c r="B876" s="32"/>
    </row>
    <row r="877" ht="15.75" customHeight="1">
      <c r="B877" s="32"/>
    </row>
    <row r="878" ht="15.75" customHeight="1">
      <c r="B878" s="32"/>
    </row>
    <row r="879" ht="15.75" customHeight="1">
      <c r="B879" s="32"/>
    </row>
    <row r="880" ht="15.75" customHeight="1">
      <c r="B880" s="32"/>
    </row>
    <row r="881" ht="15.75" customHeight="1">
      <c r="B881" s="32"/>
    </row>
    <row r="882" ht="15.75" customHeight="1">
      <c r="B882" s="32"/>
    </row>
    <row r="883" ht="15.75" customHeight="1">
      <c r="B883" s="32"/>
    </row>
    <row r="884" ht="15.75" customHeight="1">
      <c r="B884" s="32"/>
    </row>
    <row r="885" ht="15.75" customHeight="1">
      <c r="B885" s="32"/>
    </row>
    <row r="886" ht="15.75" customHeight="1">
      <c r="B886" s="32"/>
    </row>
    <row r="887" ht="15.75" customHeight="1">
      <c r="B887" s="32"/>
    </row>
    <row r="888" ht="15.75" customHeight="1">
      <c r="B888" s="32"/>
    </row>
    <row r="889" ht="15.75" customHeight="1">
      <c r="B889" s="32"/>
    </row>
    <row r="890" ht="15.75" customHeight="1">
      <c r="B890" s="32"/>
    </row>
    <row r="891" ht="15.75" customHeight="1">
      <c r="B891" s="32"/>
    </row>
    <row r="892" ht="15.75" customHeight="1">
      <c r="B892" s="32"/>
    </row>
    <row r="893" ht="15.75" customHeight="1">
      <c r="B893" s="32"/>
    </row>
    <row r="894" ht="15.75" customHeight="1">
      <c r="B894" s="32"/>
    </row>
    <row r="895" ht="15.75" customHeight="1">
      <c r="B895" s="32"/>
    </row>
    <row r="896" ht="15.75" customHeight="1">
      <c r="B896" s="32"/>
    </row>
    <row r="897" ht="15.75" customHeight="1">
      <c r="B897" s="32"/>
    </row>
    <row r="898" ht="15.75" customHeight="1">
      <c r="B898" s="32"/>
    </row>
    <row r="899" ht="15.75" customHeight="1">
      <c r="B899" s="32"/>
    </row>
    <row r="900" ht="15.75" customHeight="1">
      <c r="B900" s="32"/>
    </row>
    <row r="901" ht="15.75" customHeight="1">
      <c r="B901" s="32"/>
    </row>
    <row r="902" ht="15.75" customHeight="1">
      <c r="B902" s="32"/>
    </row>
    <row r="903" ht="15.75" customHeight="1">
      <c r="B903" s="32"/>
    </row>
    <row r="904" ht="15.75" customHeight="1">
      <c r="B904" s="32"/>
    </row>
    <row r="905" ht="15.75" customHeight="1">
      <c r="B905" s="32"/>
    </row>
    <row r="906" ht="15.75" customHeight="1">
      <c r="B906" s="32"/>
    </row>
    <row r="907" ht="15.75" customHeight="1">
      <c r="B907" s="32"/>
    </row>
    <row r="908" ht="15.75" customHeight="1">
      <c r="B908" s="32"/>
    </row>
    <row r="909" ht="15.75" customHeight="1">
      <c r="B909" s="32"/>
    </row>
    <row r="910" ht="15.75" customHeight="1">
      <c r="B910" s="32"/>
    </row>
    <row r="911" ht="15.75" customHeight="1">
      <c r="B911" s="32"/>
    </row>
    <row r="912" ht="15.75" customHeight="1">
      <c r="B912" s="32"/>
    </row>
    <row r="913" ht="15.75" customHeight="1">
      <c r="B913" s="32"/>
    </row>
    <row r="914" ht="15.75" customHeight="1">
      <c r="B914" s="32"/>
    </row>
    <row r="915" ht="15.75" customHeight="1">
      <c r="B915" s="32"/>
    </row>
    <row r="916" ht="15.75" customHeight="1">
      <c r="B916" s="32"/>
    </row>
    <row r="917" ht="15.75" customHeight="1">
      <c r="B917" s="32"/>
    </row>
    <row r="918" ht="15.75" customHeight="1">
      <c r="B918" s="32"/>
    </row>
    <row r="919" ht="15.75" customHeight="1">
      <c r="B919" s="32"/>
    </row>
    <row r="920" ht="15.75" customHeight="1">
      <c r="B920" s="32"/>
    </row>
    <row r="921" ht="15.75" customHeight="1">
      <c r="B921" s="32"/>
    </row>
    <row r="922" ht="15.75" customHeight="1">
      <c r="B922" s="32"/>
    </row>
    <row r="923" ht="15.75" customHeight="1">
      <c r="B923" s="32"/>
    </row>
    <row r="924" ht="15.75" customHeight="1">
      <c r="B924" s="32"/>
    </row>
    <row r="925" ht="15.75" customHeight="1">
      <c r="B925" s="32"/>
    </row>
    <row r="926" ht="15.75" customHeight="1">
      <c r="B926" s="32"/>
    </row>
    <row r="927" ht="15.75" customHeight="1">
      <c r="B927" s="32"/>
    </row>
    <row r="928" ht="15.75" customHeight="1">
      <c r="B928" s="32"/>
    </row>
    <row r="929" ht="15.75" customHeight="1">
      <c r="B929" s="32"/>
    </row>
    <row r="930" ht="15.75" customHeight="1">
      <c r="B930" s="32"/>
    </row>
    <row r="931" ht="15.75" customHeight="1">
      <c r="B931" s="32"/>
    </row>
    <row r="932" ht="15.75" customHeight="1">
      <c r="B932" s="32"/>
    </row>
    <row r="933" ht="15.75" customHeight="1">
      <c r="B933" s="32"/>
    </row>
    <row r="934" ht="15.75" customHeight="1">
      <c r="B934" s="32"/>
    </row>
    <row r="935" ht="15.75" customHeight="1">
      <c r="B935" s="32"/>
    </row>
    <row r="936" ht="15.75" customHeight="1">
      <c r="B936" s="32"/>
    </row>
    <row r="937" ht="15.75" customHeight="1">
      <c r="B937" s="32"/>
    </row>
    <row r="938" ht="15.75" customHeight="1">
      <c r="B938" s="32"/>
    </row>
    <row r="939" ht="15.75" customHeight="1">
      <c r="B939" s="32"/>
    </row>
    <row r="940" ht="15.75" customHeight="1">
      <c r="B940" s="32"/>
    </row>
    <row r="941" ht="15.75" customHeight="1">
      <c r="B941" s="32"/>
    </row>
    <row r="942" ht="15.75" customHeight="1">
      <c r="B942" s="32"/>
    </row>
    <row r="943" ht="15.75" customHeight="1">
      <c r="B943" s="32"/>
    </row>
    <row r="944" ht="15.75" customHeight="1">
      <c r="B944" s="32"/>
    </row>
    <row r="945" ht="15.75" customHeight="1">
      <c r="B945" s="32"/>
    </row>
    <row r="946" ht="15.75" customHeight="1">
      <c r="B946" s="32"/>
    </row>
    <row r="947" ht="15.75" customHeight="1">
      <c r="B947" s="32"/>
    </row>
    <row r="948" ht="15.75" customHeight="1">
      <c r="B948" s="32"/>
    </row>
    <row r="949" ht="15.75" customHeight="1">
      <c r="B949" s="32"/>
    </row>
    <row r="950" ht="15.75" customHeight="1">
      <c r="B950" s="32"/>
    </row>
    <row r="951" ht="15.75" customHeight="1">
      <c r="B951" s="32"/>
    </row>
    <row r="952" ht="15.75" customHeight="1">
      <c r="B952" s="32"/>
    </row>
    <row r="953" ht="15.75" customHeight="1">
      <c r="B953" s="32"/>
    </row>
    <row r="954" ht="15.75" customHeight="1">
      <c r="B954" s="32"/>
    </row>
    <row r="955" ht="15.75" customHeight="1">
      <c r="B955" s="32"/>
    </row>
    <row r="956" ht="15.75" customHeight="1">
      <c r="B956" s="32"/>
    </row>
    <row r="957" ht="15.75" customHeight="1">
      <c r="B957" s="32"/>
    </row>
    <row r="958" ht="15.75" customHeight="1">
      <c r="B958" s="32"/>
    </row>
    <row r="959" ht="15.75" customHeight="1">
      <c r="B959" s="32"/>
    </row>
    <row r="960" ht="15.75" customHeight="1">
      <c r="B960" s="32"/>
    </row>
    <row r="961" ht="15.75" customHeight="1">
      <c r="B961" s="32"/>
    </row>
    <row r="962" ht="15.75" customHeight="1">
      <c r="B962" s="32"/>
    </row>
    <row r="963" ht="15.75" customHeight="1">
      <c r="B963" s="32"/>
    </row>
    <row r="964" ht="15.75" customHeight="1">
      <c r="B964" s="32"/>
    </row>
    <row r="965" ht="15.75" customHeight="1">
      <c r="B965" s="32"/>
    </row>
    <row r="966" ht="15.75" customHeight="1">
      <c r="B966" s="32"/>
    </row>
    <row r="967" ht="15.75" customHeight="1">
      <c r="B967" s="32"/>
    </row>
    <row r="968" ht="15.75" customHeight="1">
      <c r="B968" s="32"/>
    </row>
    <row r="969" ht="15.75" customHeight="1">
      <c r="B969" s="32"/>
    </row>
    <row r="970" ht="15.75" customHeight="1">
      <c r="B970" s="32"/>
    </row>
    <row r="971" ht="15.75" customHeight="1">
      <c r="B971" s="32"/>
    </row>
    <row r="972" ht="15.75" customHeight="1">
      <c r="B972" s="32"/>
    </row>
    <row r="973" ht="15.75" customHeight="1">
      <c r="B973" s="32"/>
    </row>
    <row r="974" ht="15.75" customHeight="1">
      <c r="B974" s="32"/>
    </row>
    <row r="975" ht="15.75" customHeight="1">
      <c r="B975" s="32"/>
    </row>
    <row r="976" ht="15.75" customHeight="1">
      <c r="B976" s="32"/>
    </row>
    <row r="977" ht="15.75" customHeight="1">
      <c r="B977" s="32"/>
    </row>
    <row r="978" ht="15.75" customHeight="1">
      <c r="B978" s="32"/>
    </row>
    <row r="979" ht="15.75" customHeight="1">
      <c r="B979" s="32"/>
    </row>
    <row r="980" ht="15.75" customHeight="1">
      <c r="B980" s="32"/>
    </row>
    <row r="981" ht="15.75" customHeight="1">
      <c r="B981" s="32"/>
    </row>
    <row r="982" ht="15.75" customHeight="1">
      <c r="B982" s="32"/>
    </row>
    <row r="983" ht="15.75" customHeight="1">
      <c r="B983" s="32"/>
    </row>
    <row r="984" ht="15.75" customHeight="1">
      <c r="B984" s="32"/>
    </row>
    <row r="985" ht="15.75" customHeight="1">
      <c r="B985" s="32"/>
    </row>
    <row r="986" ht="15.75" customHeight="1">
      <c r="B986" s="32"/>
    </row>
    <row r="987" ht="15.75" customHeight="1">
      <c r="B987" s="32"/>
    </row>
    <row r="988" ht="15.75" customHeight="1">
      <c r="B988" s="32"/>
    </row>
    <row r="989" ht="15.75" customHeight="1">
      <c r="B989" s="32"/>
    </row>
    <row r="990" ht="15.75" customHeight="1">
      <c r="B990" s="32"/>
    </row>
    <row r="991" ht="15.75" customHeight="1">
      <c r="B991" s="32"/>
    </row>
    <row r="992" ht="15.75" customHeight="1">
      <c r="B992" s="32"/>
    </row>
    <row r="993" ht="15.75" customHeight="1">
      <c r="B993" s="32"/>
    </row>
    <row r="994" ht="15.75" customHeight="1">
      <c r="B994" s="32"/>
    </row>
    <row r="995" ht="15.75" customHeight="1">
      <c r="B995" s="32"/>
    </row>
    <row r="996" ht="15.75" customHeight="1">
      <c r="B996" s="32"/>
    </row>
    <row r="997" ht="15.75" customHeight="1">
      <c r="B997" s="32"/>
    </row>
    <row r="998" ht="15.75" customHeight="1">
      <c r="B998" s="32"/>
    </row>
    <row r="999" ht="15.75" customHeight="1">
      <c r="B999" s="32"/>
    </row>
    <row r="1000" ht="15.75" customHeight="1">
      <c r="B1000" s="32"/>
    </row>
  </sheetData>
  <autoFilter ref="$A$3:$AT$100"/>
  <mergeCells count="11">
    <mergeCell ref="AA2:AB2"/>
    <mergeCell ref="AC2:AM2"/>
    <mergeCell ref="AN2:AP2"/>
    <mergeCell ref="AQ2:AT2"/>
    <mergeCell ref="A1:D1"/>
    <mergeCell ref="E1:H1"/>
    <mergeCell ref="I1:L1"/>
    <mergeCell ref="A2:G2"/>
    <mergeCell ref="H2:N2"/>
    <mergeCell ref="O2:T2"/>
    <mergeCell ref="U2:Z2"/>
  </mergeCells>
  <conditionalFormatting sqref="A4:A100">
    <cfRule type="expression" dxfId="0" priority="1">
      <formula>TRUE</formula>
    </cfRule>
  </conditionalFormatting>
  <conditionalFormatting sqref="B4:B100">
    <cfRule type="expression" dxfId="0" priority="2">
      <formula>TRUE</formula>
    </cfRule>
  </conditionalFormatting>
  <conditionalFormatting sqref="C4:C100">
    <cfRule type="expression" dxfId="0" priority="3">
      <formula>TRUE</formula>
    </cfRule>
  </conditionalFormatting>
  <conditionalFormatting sqref="D4:D100">
    <cfRule type="expression" dxfId="0" priority="4">
      <formula>TRUE</formula>
    </cfRule>
  </conditionalFormatting>
  <conditionalFormatting sqref="E4:E100">
    <cfRule type="expression" dxfId="0" priority="5">
      <formula>TRUE</formula>
    </cfRule>
  </conditionalFormatting>
  <conditionalFormatting sqref="F4:F100">
    <cfRule type="expression" dxfId="0" priority="6">
      <formula>TRUE</formula>
    </cfRule>
  </conditionalFormatting>
  <conditionalFormatting sqref="G4:G100">
    <cfRule type="expression" dxfId="0" priority="7">
      <formula>TRUE</formula>
    </cfRule>
  </conditionalFormatting>
  <conditionalFormatting sqref="H4:H100">
    <cfRule type="expression" dxfId="1" priority="8">
      <formula>TRUE</formula>
    </cfRule>
  </conditionalFormatting>
  <conditionalFormatting sqref="I4:I100">
    <cfRule type="expression" dxfId="1" priority="9">
      <formula>TRUE</formula>
    </cfRule>
  </conditionalFormatting>
  <conditionalFormatting sqref="J4:J100">
    <cfRule type="expression" dxfId="1" priority="10">
      <formula>TRUE</formula>
    </cfRule>
  </conditionalFormatting>
  <conditionalFormatting sqref="K4:K100">
    <cfRule type="expression" dxfId="0" priority="11">
      <formula>TRUE</formula>
    </cfRule>
  </conditionalFormatting>
  <conditionalFormatting sqref="L4:L100">
    <cfRule type="expression" dxfId="0" priority="12">
      <formula>TRUE</formula>
    </cfRule>
  </conditionalFormatting>
  <conditionalFormatting sqref="M4:M100">
    <cfRule type="expression" dxfId="0" priority="13">
      <formula>TRUE</formula>
    </cfRule>
  </conditionalFormatting>
  <conditionalFormatting sqref="N4:N100">
    <cfRule type="expression" dxfId="0" priority="14">
      <formula>TRUE</formula>
    </cfRule>
  </conditionalFormatting>
  <conditionalFormatting sqref="O4:O100">
    <cfRule type="expression" dxfId="0" priority="15">
      <formula>TRUE</formula>
    </cfRule>
  </conditionalFormatting>
  <conditionalFormatting sqref="P4:P100">
    <cfRule type="expression" dxfId="0" priority="16">
      <formula>TRUE</formula>
    </cfRule>
  </conditionalFormatting>
  <conditionalFormatting sqref="Q4:Q100">
    <cfRule type="expression" dxfId="0" priority="17">
      <formula>TRUE</formula>
    </cfRule>
  </conditionalFormatting>
  <conditionalFormatting sqref="R4:R100">
    <cfRule type="expression" dxfId="0" priority="18">
      <formula>TRUE</formula>
    </cfRule>
  </conditionalFormatting>
  <conditionalFormatting sqref="S4:S100">
    <cfRule type="expression" dxfId="2" priority="19">
      <formula>TRUE</formula>
    </cfRule>
  </conditionalFormatting>
  <conditionalFormatting sqref="U4:U100">
    <cfRule type="expression" dxfId="0" priority="20">
      <formula>TRUE</formula>
    </cfRule>
  </conditionalFormatting>
  <conditionalFormatting sqref="V4:V100">
    <cfRule type="expression" dxfId="0" priority="21">
      <formula>TRUE</formula>
    </cfRule>
  </conditionalFormatting>
  <conditionalFormatting sqref="W4:W100">
    <cfRule type="expression" dxfId="0" priority="22">
      <formula>TRUE</formula>
    </cfRule>
  </conditionalFormatting>
  <conditionalFormatting sqref="X4:X100">
    <cfRule type="expression" dxfId="0" priority="23">
      <formula>TRUE</formula>
    </cfRule>
  </conditionalFormatting>
  <conditionalFormatting sqref="Y4:Y100">
    <cfRule type="expression" dxfId="0" priority="24">
      <formula>TRUE</formula>
    </cfRule>
  </conditionalFormatting>
  <conditionalFormatting sqref="Z4:Z100">
    <cfRule type="expression" dxfId="1" priority="25">
      <formula>TRUE</formula>
    </cfRule>
  </conditionalFormatting>
  <conditionalFormatting sqref="AA4:AA100">
    <cfRule type="expression" dxfId="0" priority="26">
      <formula>TRUE</formula>
    </cfRule>
  </conditionalFormatting>
  <conditionalFormatting sqref="AB4:AB100">
    <cfRule type="expression" dxfId="0" priority="27">
      <formula>TRUE</formula>
    </cfRule>
  </conditionalFormatting>
  <conditionalFormatting sqref="AC4:AC100">
    <cfRule type="expression" dxfId="1" priority="28">
      <formula>TRUE</formula>
    </cfRule>
  </conditionalFormatting>
  <conditionalFormatting sqref="AD4:AD100">
    <cfRule type="expression" dxfId="1" priority="29">
      <formula>TRUE</formula>
    </cfRule>
  </conditionalFormatting>
  <conditionalFormatting sqref="AE4:AE100">
    <cfRule type="expression" dxfId="1" priority="30">
      <formula>TRUE</formula>
    </cfRule>
  </conditionalFormatting>
  <conditionalFormatting sqref="AF4:AF100">
    <cfRule type="expression" dxfId="1" priority="31">
      <formula>TRUE</formula>
    </cfRule>
  </conditionalFormatting>
  <conditionalFormatting sqref="AG4:AG100">
    <cfRule type="expression" dxfId="1" priority="32">
      <formula>TRUE</formula>
    </cfRule>
  </conditionalFormatting>
  <conditionalFormatting sqref="AH4:AH100">
    <cfRule type="expression" dxfId="2" priority="33">
      <formula>TRUE</formula>
    </cfRule>
  </conditionalFormatting>
  <conditionalFormatting sqref="AI4:AI100">
    <cfRule type="expression" dxfId="1" priority="34">
      <formula>TRUE</formula>
    </cfRule>
  </conditionalFormatting>
  <conditionalFormatting sqref="AJ4:AJ100">
    <cfRule type="expression" dxfId="1" priority="35">
      <formula>TRUE</formula>
    </cfRule>
  </conditionalFormatting>
  <conditionalFormatting sqref="AK4:AK100">
    <cfRule type="expression" dxfId="1" priority="36">
      <formula>TRUE</formula>
    </cfRule>
  </conditionalFormatting>
  <conditionalFormatting sqref="AL4:AL100">
    <cfRule type="expression" dxfId="1" priority="37">
      <formula>TRUE</formula>
    </cfRule>
  </conditionalFormatting>
  <conditionalFormatting sqref="AM4:AM100">
    <cfRule type="expression" dxfId="2" priority="38">
      <formula>TRUE</formula>
    </cfRule>
  </conditionalFormatting>
  <conditionalFormatting sqref="AN4:AN100">
    <cfRule type="expression" dxfId="1" priority="39">
      <formula>TRUE</formula>
    </cfRule>
  </conditionalFormatting>
  <conditionalFormatting sqref="AO4:AO100">
    <cfRule type="expression" dxfId="1" priority="40">
      <formula>TRUE</formula>
    </cfRule>
  </conditionalFormatting>
  <conditionalFormatting sqref="AP4:AP100">
    <cfRule type="expression" dxfId="1" priority="41">
      <formula>TRUE</formula>
    </cfRule>
  </conditionalFormatting>
  <conditionalFormatting sqref="AQ4:AQ100">
    <cfRule type="expression" dxfId="1" priority="42">
      <formula>TRUE</formula>
    </cfRule>
  </conditionalFormatting>
  <conditionalFormatting sqref="AS4:AS100">
    <cfRule type="expression" dxfId="1" priority="43">
      <formula>TRUE</formula>
    </cfRule>
  </conditionalFormatting>
  <conditionalFormatting sqref="AT4:AT100">
    <cfRule type="expression" dxfId="1" priority="44">
      <formula>TRUE</formula>
    </cfRule>
  </conditionalFormatting>
  <conditionalFormatting sqref="T4:T100">
    <cfRule type="cellIs" dxfId="3" priority="45" operator="equal">
      <formula>"A - go now"</formula>
    </cfRule>
  </conditionalFormatting>
  <conditionalFormatting sqref="T4:T100">
    <cfRule type="cellIs" dxfId="4" priority="46" operator="equal">
      <formula>"B - worth it"</formula>
    </cfRule>
  </conditionalFormatting>
  <conditionalFormatting sqref="T4:T100">
    <cfRule type="cellIs" dxfId="5" priority="47" operator="equal">
      <formula>"DQ - do not work"</formula>
    </cfRule>
  </conditionalFormatting>
  <conditionalFormatting sqref="T4:T100">
    <cfRule type="cellIs" dxfId="6" priority="48" operator="equal">
      <formula>"STALE - refresh"</formula>
    </cfRule>
  </conditionalFormatting>
  <conditionalFormatting sqref="AR4:AR100">
    <cfRule type="cellIs" dxfId="7" priority="49" operator="equal">
      <formula>"CONTRACT WON"</formula>
    </cfRule>
  </conditionalFormatting>
  <dataValidations>
    <dataValidation type="list" allowBlank="1" sqref="O4:O100">
      <formula1>"Pre-winter floors,Recent renovation,New tenancy / move,Back to school,New facility manager,Contract expiring,Complaints about current cleaner,Property mgmt change,Event,None known"</formula1>
    </dataValidation>
    <dataValidation type="list" allowBlank="1" sqref="AD4:AD100">
      <formula1>"Not started,Contacted,Walkthrough booked,Walkthrough done,Proposal sent,Won - one-off job,Won - CONTRACT,On backup list,Lost,Not a fit"</formula1>
    </dataValidation>
    <dataValidation type="list" allowBlank="1" sqref="H4:H100 Q4:Q100">
      <formula1>"Yes,No,Unknown"</formula1>
    </dataValidation>
    <dataValidation type="list" allowBlank="1" sqref="AJ4:AJ100">
      <formula1>"On completion,Net 15,Net 30,Net 45,Net 60,Deposit + balance"</formula1>
    </dataValidation>
    <dataValidation type="list" allowBlank="1" sqref="C4:C100">
      <formula1>"NDG,Westmount,TMR,Cote Saint-Luc,Hampstead,Montreal West,Lachine,Dorval,Pointe-Claire,Dollard-des-Ormeaux,Kirkland,Beaconsfield,Baie-dUrfe,Other - in corridor,Outside corridor"</formula1>
    </dataValidation>
    <dataValidation type="list" allowBlank="1" sqref="F4:F100">
      <formula1>"Public body,Private"</formula1>
    </dataValidation>
    <dataValidation type="list" allowBlank="1" sqref="AQ4:AQ100">
      <formula1>"Yes,No"</formula1>
    </dataValidation>
    <dataValidation type="list" allowBlank="1" showErrorMessage="1" sqref="B4:B1000">
      <formula1>"Office,School,Kindergarten / preschool,Daycare / CPE,Medical clinic,Gym / Studio,Property manager,Event venue,Event mgmt company,Other commercial,DQ - Restaurant / Kitchen,DQ - Mall / Mega-complex,DQ - Heavy industrial,DQ - Residential"</formula1>
    </dataValidation>
    <dataValidation type="list" allowBlank="1" sqref="D4:D100">
      <formula1>"EN,FR,Bilingual,Unknown"</formula1>
    </dataValidation>
    <dataValidation type="list" allowBlank="1" sqref="AR4:AR100">
      <formula1>"Not yet raised,Raised in conversation,Contract proposal sent,CONTRACT WON,Declined"</formula1>
    </dataValidation>
    <dataValidation type="list" allowBlank="1" sqref="AK4:AK100">
      <formula1>"Yes,No,N/A"</formula1>
    </dataValidation>
    <dataValidation type="list" allowBlank="1" sqref="J4:J100">
      <formula1>"SEAO,Asked on call,Observed on site,Competitor website,Competitor review,LinkedIn,Property manager,Not yet known"</formula1>
    </dataValidation>
    <dataValidation type="list" allowBlank="1" sqref="Y4:Y100">
      <formula1>"Call,Walk-in,Email,Referral,LinkedIn,Property manager"</formula1>
    </dataValidation>
    <dataValidation type="list" allowBlank="1" sqref="R4:R100">
      <formula1>"One-off - Strip &amp; wax,One-off - Post-construction,One-off - Deep clean,One-off - Move in/out,One-off - Event clean,Backup list,Recurring contract"</formula1>
    </dataValidation>
  </dataValidations>
  <hyperlinks>
    <hyperlink r:id="rId1" ref="AA4"/>
    <hyperlink r:id="rId2" ref="AA5"/>
    <hyperlink r:id="rId3" ref="AA6"/>
    <hyperlink r:id="rId4" ref="AA7"/>
    <hyperlink r:id="rId5" ref="AA8"/>
    <hyperlink r:id="rId6" ref="AA9"/>
    <hyperlink r:id="rId7" ref="AA10"/>
    <hyperlink r:id="rId8" ref="AA11"/>
    <hyperlink r:id="rId9" ref="AA12"/>
    <hyperlink r:id="rId10" ref="AA13"/>
    <hyperlink r:id="rId11" ref="AA14"/>
    <hyperlink r:id="rId12" ref="AA15"/>
    <hyperlink r:id="rId13" ref="AA16"/>
    <hyperlink r:id="rId14" ref="AA17"/>
    <hyperlink r:id="rId15" ref="AA18"/>
    <hyperlink r:id="rId16" ref="AA19"/>
    <hyperlink r:id="rId17" ref="AA20"/>
    <hyperlink r:id="rId18" ref="AA21"/>
    <hyperlink r:id="rId19" ref="AA22"/>
    <hyperlink r:id="rId20" ref="AA23"/>
    <hyperlink r:id="rId21" ref="AA24"/>
    <hyperlink r:id="rId22" ref="AA25"/>
    <hyperlink r:id="rId23" ref="AA26"/>
    <hyperlink r:id="rId24" ref="AA27"/>
    <hyperlink r:id="rId25" ref="AA28"/>
    <hyperlink r:id="rId26" ref="AA29"/>
    <hyperlink r:id="rId27" ref="AA30"/>
    <hyperlink r:id="rId28" ref="AA31"/>
    <hyperlink r:id="rId29" ref="AA32"/>
    <hyperlink r:id="rId30" ref="AA33"/>
    <hyperlink r:id="rId31" ref="AA34"/>
    <hyperlink r:id="rId32" ref="AA35"/>
    <hyperlink r:id="rId33" ref="AA36"/>
    <hyperlink r:id="rId34" ref="AA37"/>
    <hyperlink r:id="rId35" ref="AA38"/>
    <hyperlink r:id="rId36" ref="AA39"/>
    <hyperlink r:id="rId37" ref="AA40"/>
  </hyperlinks>
  <printOptions/>
  <pageMargins bottom="1.0" footer="0.0" header="0.0" left="0.75" right="0.75" top="1.0"/>
  <pageSetup orientation="landscape"/>
  <drawing r:id="rId38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4.0"/>
    <col customWidth="1" min="2" max="2" width="16.0"/>
    <col customWidth="1" min="3" max="3" width="54.0"/>
    <col customWidth="1" min="4" max="26" width="8.71"/>
  </cols>
  <sheetData>
    <row r="1">
      <c r="A1" s="1" t="s">
        <v>248</v>
      </c>
    </row>
    <row r="2">
      <c r="A2" s="3" t="s">
        <v>249</v>
      </c>
    </row>
    <row r="4" ht="21.75" customHeight="1">
      <c r="A4" s="35" t="s">
        <v>250</v>
      </c>
      <c r="B4" s="36"/>
      <c r="C4" s="36"/>
    </row>
    <row r="5" ht="36.0" customHeight="1">
      <c r="A5" s="37" t="s">
        <v>251</v>
      </c>
      <c r="B5" s="39">
        <f>COUNTIF(Leads!$AR$4:$AR$100,"CONTRACT WON")</f>
        <v>0</v>
      </c>
      <c r="C5" s="3" t="s">
        <v>252</v>
      </c>
    </row>
    <row r="6">
      <c r="A6" s="5" t="s">
        <v>253</v>
      </c>
      <c r="B6" s="40">
        <f>SUMIF(Leads!$AR$4:$AR$100,"CONTRACT WON",Leads!$AS$4:$AS$100)</f>
        <v>0</v>
      </c>
      <c r="C6" s="3"/>
    </row>
    <row r="7">
      <c r="A7" s="5" t="s">
        <v>254</v>
      </c>
      <c r="B7" s="40">
        <f>5-COUNTIF(Leads!$AR$4:$AR$100,"CONTRACT WON")</f>
        <v>5</v>
      </c>
      <c r="C7" s="3" t="s">
        <v>258</v>
      </c>
    </row>
    <row r="9" ht="21.75" customHeight="1">
      <c r="A9" s="35" t="s">
        <v>260</v>
      </c>
      <c r="B9" s="36"/>
      <c r="C9" s="36"/>
    </row>
    <row r="10">
      <c r="A10" s="5" t="s">
        <v>262</v>
      </c>
      <c r="B10" s="40">
        <f>COUNTIF(Leads!$AD$4:$AD$100,"Won - one-off job")+COUNTIF(Leads!$AD$4:$AD$100,"Won - CONTRACT")</f>
        <v>0</v>
      </c>
      <c r="C10" s="3" t="s">
        <v>263</v>
      </c>
    </row>
    <row r="11">
      <c r="A11" s="5" t="s">
        <v>264</v>
      </c>
      <c r="B11" s="40">
        <f>COUNTIF(Leads!$AD$4:$AD$100,"Won - one-off job")</f>
        <v>0</v>
      </c>
      <c r="C11" s="3" t="s">
        <v>265</v>
      </c>
    </row>
    <row r="12">
      <c r="A12" s="5" t="s">
        <v>266</v>
      </c>
      <c r="B12" s="40">
        <f>COUNTIF(Leads!$AD$4:$AD$100,"Won - CONTRACT")</f>
        <v>0</v>
      </c>
      <c r="C12" s="3"/>
    </row>
    <row r="13">
      <c r="A13" s="5" t="s">
        <v>268</v>
      </c>
      <c r="B13" s="40">
        <f>COUNTIF(Leads!$AQ$4:$AQ$100,"Yes")</f>
        <v>0</v>
      </c>
      <c r="C13" s="3" t="s">
        <v>269</v>
      </c>
    </row>
    <row r="15" ht="21.75" customHeight="1">
      <c r="A15" s="35" t="s">
        <v>270</v>
      </c>
      <c r="B15" s="36"/>
      <c r="C15" s="36"/>
    </row>
    <row r="16">
      <c r="A16" s="5" t="s">
        <v>271</v>
      </c>
      <c r="B16" s="40">
        <f>COUNTIF(Leads!$AR$4:$AR$100,"Raised in conversation")</f>
        <v>0</v>
      </c>
      <c r="C16" s="3"/>
    </row>
    <row r="17">
      <c r="A17" s="5" t="s">
        <v>272</v>
      </c>
      <c r="B17" s="40">
        <f>COUNTIF(Leads!$AR$4:$AR$100,"Contract proposal sent")</f>
        <v>0</v>
      </c>
      <c r="C17" s="3"/>
    </row>
    <row r="18">
      <c r="A18" s="5" t="s">
        <v>273</v>
      </c>
      <c r="B18" s="40">
        <f>COUNTIFS(Leads!$AD$4:$AD$100,"Won - one-off job",Leads!$AR$4:$AR$100,"Not yet raised")</f>
        <v>0</v>
      </c>
      <c r="C18" s="3" t="s">
        <v>279</v>
      </c>
    </row>
    <row r="19">
      <c r="A19" s="5" t="s">
        <v>280</v>
      </c>
      <c r="B19" s="40" t="str">
        <f>IF(COUNTIF(Leads!$AD$4:$AD$100,"Won - one-off job")=0,"—",TEXT(COUNTIF(Leads!$AR$4:$AR$100,"CONTRACT WON")/COUNTIF(Leads!$AD$4:$AD$100,"Won - one-off job"),"0%"))</f>
        <v>—</v>
      </c>
      <c r="C19" s="3" t="s">
        <v>282</v>
      </c>
    </row>
    <row r="21" ht="21.75" customHeight="1">
      <c r="A21" s="35" t="s">
        <v>248</v>
      </c>
      <c r="B21" s="36"/>
      <c r="C21" s="36"/>
    </row>
    <row r="22" ht="15.75" customHeight="1">
      <c r="A22" s="5" t="s">
        <v>283</v>
      </c>
      <c r="B22" s="40">
        <f>COUNTA(Leads!$A$4:$A$100)-COUNTIF(Leads!$A$4:$A$100,"EXAMPLE*")</f>
        <v>37</v>
      </c>
      <c r="C22" s="3"/>
    </row>
    <row r="23" ht="15.75" customHeight="1">
      <c r="A23" s="5" t="s">
        <v>288</v>
      </c>
      <c r="B23" s="40">
        <f>COUNTIF(Leads!$T$4:$T$100,"A - go now")</f>
        <v>5</v>
      </c>
      <c r="C23" s="3" t="s">
        <v>289</v>
      </c>
    </row>
    <row r="24" ht="15.75" customHeight="1">
      <c r="A24" s="5" t="s">
        <v>290</v>
      </c>
      <c r="B24" s="40">
        <f>COUNTIF(Leads!$T$4:$T$100,"B - worth it")</f>
        <v>32</v>
      </c>
      <c r="C24" s="3"/>
    </row>
    <row r="25" ht="15.75" customHeight="1">
      <c r="A25" s="5" t="s">
        <v>291</v>
      </c>
      <c r="B25" s="40">
        <f>COUNTIF(Leads!$T$4:$T$100,"C - later")</f>
        <v>0</v>
      </c>
      <c r="C25" s="3"/>
    </row>
    <row r="26" ht="15.75" customHeight="1">
      <c r="A26" s="5" t="s">
        <v>292</v>
      </c>
      <c r="B26" s="40">
        <f>COUNTIF(Leads!$T$4:$T$100,"STALE - refresh")</f>
        <v>0</v>
      </c>
      <c r="C26" s="3" t="s">
        <v>295</v>
      </c>
    </row>
    <row r="27" ht="15.75" customHeight="1">
      <c r="A27" s="5" t="s">
        <v>296</v>
      </c>
      <c r="B27" s="40">
        <f>COUNTIF(Leads!$T$4:$T$100,"DQ*")</f>
        <v>0</v>
      </c>
      <c r="C27" s="3" t="s">
        <v>298</v>
      </c>
    </row>
    <row r="28" ht="15.75" customHeight="1">
      <c r="A28" s="5" t="s">
        <v>299</v>
      </c>
      <c r="B28" s="40">
        <f>COUNTIFS(Leads!$T$4:$T$100,"A - go now",Leads!$AD$4:$AD$100,"Not started")</f>
        <v>3</v>
      </c>
      <c r="C28" s="3" t="s">
        <v>300</v>
      </c>
    </row>
    <row r="29" ht="15.75" customHeight="1"/>
    <row r="30" ht="21.75" customHeight="1">
      <c r="A30" s="35" t="s">
        <v>301</v>
      </c>
      <c r="B30" s="36"/>
      <c r="C30" s="36"/>
    </row>
    <row r="31" ht="15.75" customHeight="1">
      <c r="A31" s="5" t="s">
        <v>305</v>
      </c>
      <c r="B31" s="40">
        <f>COUNTIF(Leads!$AD$4:$AD$100,"Contacted")</f>
        <v>0</v>
      </c>
      <c r="C31" s="3"/>
    </row>
    <row r="32" ht="15.75" customHeight="1">
      <c r="A32" s="5" t="s">
        <v>307</v>
      </c>
      <c r="B32" s="40">
        <f>COUNT(Leads!$AF$4:$AF$100)</f>
        <v>0</v>
      </c>
      <c r="C32" s="3"/>
    </row>
    <row r="33" ht="15.75" customHeight="1">
      <c r="A33" s="5" t="s">
        <v>308</v>
      </c>
      <c r="B33" s="40">
        <f>COUNT(Leads!$AG$4:$AG$100)</f>
        <v>0</v>
      </c>
      <c r="C33" s="3"/>
    </row>
    <row r="34" ht="15.75" customHeight="1">
      <c r="A34" s="5" t="s">
        <v>309</v>
      </c>
      <c r="B34" s="40">
        <f>COUNTA(Leads!$Z$4:$Z$100)</f>
        <v>0</v>
      </c>
      <c r="C34" s="3"/>
    </row>
    <row r="35" ht="15.75" customHeight="1">
      <c r="A35" s="5" t="s">
        <v>313</v>
      </c>
      <c r="B35" s="40" t="str">
        <f>IF(COUNT(Leads!$AF$4:$AF$100)=0,"—",TEXT(COUNT(Leads!$AG$4:$AG$100)/COUNT(Leads!$AF$4:$AF$100),"0%"))</f>
        <v>—</v>
      </c>
      <c r="C35" s="3"/>
    </row>
    <row r="36" ht="15.75" customHeight="1">
      <c r="A36" s="5" t="s">
        <v>317</v>
      </c>
      <c r="B36" s="40" t="str">
        <f>IF(COUNT(Leads!$AH$4:$AH$100)=0,"—",ROUND(AVERAGE(Leads!$AH$4:$AH$100),1))</f>
        <v>—</v>
      </c>
      <c r="C36" s="3" t="s">
        <v>322</v>
      </c>
    </row>
    <row r="37" ht="15.75" customHeight="1"/>
    <row r="38" ht="21.75" customHeight="1">
      <c r="A38" s="35" t="s">
        <v>323</v>
      </c>
      <c r="B38" s="36"/>
      <c r="C38" s="36"/>
    </row>
    <row r="39" ht="15.75" customHeight="1">
      <c r="A39" s="5" t="s">
        <v>325</v>
      </c>
      <c r="B39" s="40">
        <f>SUM(Leads!$AI$4:$AI$100)</f>
        <v>0</v>
      </c>
      <c r="C39" s="3"/>
    </row>
    <row r="40" ht="15.75" customHeight="1">
      <c r="A40" s="5" t="s">
        <v>330</v>
      </c>
      <c r="B40" s="40">
        <f>SUMIF(Leads!$AD$4:$AD$100,"Won - one-off job",Leads!$AI$4:$AI$100)+SUMIF(Leads!$AD$4:$AD$100,"Won - CONTRACT",Leads!$AI$4:$AI$100)</f>
        <v>0</v>
      </c>
      <c r="C40" s="3"/>
    </row>
    <row r="41" ht="15.75" customHeight="1">
      <c r="A41" s="5" t="s">
        <v>331</v>
      </c>
      <c r="B41" s="40">
        <f>SUM(Leads!$AP$4:$AP$100)</f>
        <v>0</v>
      </c>
      <c r="C41" s="3" t="s">
        <v>334</v>
      </c>
    </row>
    <row r="42" ht="15.75" customHeight="1">
      <c r="A42" s="5" t="s">
        <v>335</v>
      </c>
      <c r="B42" s="40">
        <f>SUMIF(Leads!$AD$4:$AD$100,"Won - one-off job",Leads!$AI$4:$AI$100)+SUMIF(Leads!$AD$4:$AD$100,"Won - CONTRACT",Leads!$AI$4:$AI$100)-SUM(Leads!$AP$4:$AP$100)</f>
        <v>0</v>
      </c>
      <c r="C42" s="3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